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" sheetId="1" r:id="rId5"/>
    <sheet state="visible" name="Inv_4096" sheetId="2" r:id="rId6"/>
    <sheet state="visible" name="Inv_8192" sheetId="3" r:id="rId7"/>
    <sheet state="visible" name="Inv_16384" sheetId="4" r:id="rId8"/>
    <sheet state="visible" name="Inv_32768" sheetId="5" r:id="rId9"/>
    <sheet state="visible" name="Inv_65536" sheetId="6" r:id="rId10"/>
    <sheet state="visible" name="Inv_131072" sheetId="7" r:id="rId11"/>
    <sheet state="visible" name="Inv_262144" sheetId="8" r:id="rId12"/>
    <sheet state="visible" name="Inv_524288" sheetId="9" r:id="rId13"/>
  </sheets>
  <definedNames/>
  <calcPr/>
</workbook>
</file>

<file path=xl/sharedStrings.xml><?xml version="1.0" encoding="utf-8"?>
<sst xmlns="http://schemas.openxmlformats.org/spreadsheetml/2006/main" count="408" uniqueCount="72">
  <si>
    <t>Análisis Comparativo de Estructuras de Datos de Inventario</t>
  </si>
  <si>
    <t>Tiempo Promedio de Ejecución (s)</t>
  </si>
  <si>
    <t>m</t>
  </si>
  <si>
    <t>BST (s)</t>
  </si>
  <si>
    <t>RedBlackBST (s)</t>
  </si>
  <si>
    <t>Altura Promedio de los Árboles</t>
  </si>
  <si>
    <t>BST</t>
  </si>
  <si>
    <t>RedBlackBST</t>
  </si>
  <si>
    <t>Métricas de Crecimiento de Tiempos (2m / m)</t>
  </si>
  <si>
    <t>Intervalo</t>
  </si>
  <si>
    <t>Ratio BST</t>
  </si>
  <si>
    <t>log2(Ratio) BST</t>
  </si>
  <si>
    <t>Ratio RB</t>
  </si>
  <si>
    <t>log2(Ratio) RB</t>
  </si>
  <si>
    <t>4096 -&gt; 8192</t>
  </si>
  <si>
    <t>8192 -&gt; 16384</t>
  </si>
  <si>
    <t>16384 -&gt; 32768</t>
  </si>
  <si>
    <t>32768 -&gt; 65536</t>
  </si>
  <si>
    <t>65536 -&gt; 131072</t>
  </si>
  <si>
    <t>131072 -&gt; 262144</t>
  </si>
  <si>
    <t>262144 -&gt; 524288</t>
  </si>
  <si>
    <t>Promedio de Operaciones Exitosas y Fallidas</t>
  </si>
  <si>
    <t>Estructura</t>
  </si>
  <si>
    <t>Cons. Exitosa</t>
  </si>
  <si>
    <t>Cons. Fallida</t>
  </si>
  <si>
    <t>Prést. Exitoso</t>
  </si>
  <si>
    <t>Prést. Fallido</t>
  </si>
  <si>
    <t>Dev. Exitosa</t>
  </si>
  <si>
    <t>Dev. Fallida</t>
  </si>
  <si>
    <t>Preguntas de Análisis y Reflexión</t>
  </si>
  <si>
    <t>Pregunta 1: ¿A qué valor parece acercarse log2(ratio)?</t>
  </si>
  <si>
    <t>Se estabiliza en un valor entre 1,15 y 1,32 para los tamaños más grandes.</t>
  </si>
  <si>
    <t>Pregunta 2: ¿El crecimiento observado se parece a O(log n), O(n), O(n log n) u otro?</t>
  </si>
  <si>
    <t>Se asemeja a O(m log m). Un crecimiento lineal daría 1, y uno cuadrático daría 2. El valor ~1.2 confirma O(m log m).</t>
  </si>
  <si>
    <t>Pregunta 3: ¿La altura del árbol ayuda a explicar los tiempos obtenidos?</t>
  </si>
  <si>
    <t>Sí. El BST alcanza casi el doble de altura que el RedBlackBST. A mayor altura, se deben recorrer más nodos, aumentando el tiempo.</t>
  </si>
  <si>
    <t>Pregunta 4: ¿Qué estructura parece más estable para administrar el inventario?</t>
  </si>
  <si>
    <t>El RedBlackBST. Al ser auto-balanceado garantiza una altura máxima logarítmica, asegurando tiempos estables y menor variabilidad.</t>
  </si>
  <si>
    <t>Resultados de Simulación para m = 4096</t>
  </si>
  <si>
    <t>Estadísticas de Tiempos y Alturas</t>
  </si>
  <si>
    <t>Métrica</t>
  </si>
  <si>
    <t>Tiempo Mínimo (s)</t>
  </si>
  <si>
    <t>Tiempo Máximo (s)</t>
  </si>
  <si>
    <t>Tiempo Promedio (s)</t>
  </si>
  <si>
    <t>Desviación Estándar (s)</t>
  </si>
  <si>
    <t>Coeficiente de Variación</t>
  </si>
  <si>
    <t>Altura Promedio</t>
  </si>
  <si>
    <t>Altura Máxima</t>
  </si>
  <si>
    <t>Microdatos de BST (30 Ejecuciones)</t>
  </si>
  <si>
    <t>Microdatos de RedBlackBST (30 Ejecuciones)</t>
  </si>
  <si>
    <t>Instancia</t>
  </si>
  <si>
    <t>Tiempo (s)</t>
  </si>
  <si>
    <t>Altura Final</t>
  </si>
  <si>
    <t>Tamaño Final</t>
  </si>
  <si>
    <t>Compra Tot</t>
  </si>
  <si>
    <t>Cons Tot</t>
  </si>
  <si>
    <t>Prést Tot</t>
  </si>
  <si>
    <t>Dev Tot</t>
  </si>
  <si>
    <t>Baja Tot</t>
  </si>
  <si>
    <t>Cons Exit</t>
  </si>
  <si>
    <t>Cons Fall</t>
  </si>
  <si>
    <t>Prést Exit</t>
  </si>
  <si>
    <t>Prést Fall</t>
  </si>
  <si>
    <t>Dev Exit</t>
  </si>
  <si>
    <t>Dev Fall</t>
  </si>
  <si>
    <t>Resultados de Simulación para m = 8192</t>
  </si>
  <si>
    <t>Resultados de Simulación para m = 16384</t>
  </si>
  <si>
    <t>Resultados de Simulación para m = 32768</t>
  </si>
  <si>
    <t>Resultados de Simulación para m = 65536</t>
  </si>
  <si>
    <t>Resultados de Simulación para m = 131072</t>
  </si>
  <si>
    <t>Resultados de Simulación para m = 262144</t>
  </si>
  <si>
    <t>Resultados de Simulación para m = 524288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</si>
</sst>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.000000"/>
    <numFmt numFmtId="165" formatCode="0.0000"/>
  </numFmts>
  <fonts count="10">
    <font>
      <sz val="11.0"/>
      <color theme="1"/>
      <name val="Calibri"/>
      <scheme val="minor"/>
    </font>
    <font>
      <b/>
      <sz val="16.0"/>
      <color rgb="FF0F172A"/>
      <name val="Quattrocento Sans"/>
    </font>
    <font>
      <b/>
      <sz val="12.0"/>
      <color rgb="FF1E293B"/>
      <name val="Quattrocento Sans"/>
    </font>
    <font>
      <b/>
      <sz val="11.0"/>
      <color rgb="FFFFFFFF"/>
      <name val="Quattrocento Sans"/>
    </font>
    <font>
      <sz val="11.0"/>
      <color theme="1"/>
      <name val="Quattrocento Sans"/>
    </font>
    <font>
      <b/>
      <sz val="13.0"/>
      <color theme="1"/>
      <name val="Quattrocento Sans"/>
    </font>
    <font>
      <b/>
      <i/>
      <sz val="11.0"/>
      <color rgb="FF1E3A8A"/>
      <name val="Quattrocento Sans"/>
    </font>
    <font/>
    <font>
      <i/>
      <sz val="11.0"/>
      <color rgb="FF64748B"/>
      <name val="Quattrocento Sans"/>
    </font>
    <font>
      <b/>
      <sz val="11.0"/>
      <color theme="1"/>
      <name val="Quattrocento Sans"/>
    </font>
  </fonts>
  <fills count="9">
    <fill>
      <patternFill patternType="none"/>
    </fill>
    <fill>
      <patternFill patternType="lightGray"/>
    </fill>
    <fill>
      <patternFill patternType="solid">
        <fgColor rgb="FF1E293B"/>
        <bgColor rgb="FF1E293B"/>
      </patternFill>
    </fill>
    <fill>
      <patternFill patternType="solid">
        <fgColor rgb="FFF8FAFC"/>
        <bgColor rgb="FFF8FAFC"/>
      </patternFill>
    </fill>
    <fill>
      <patternFill patternType="solid">
        <fgColor rgb="FFEFF6FF"/>
        <bgColor rgb="FFEFF6FF"/>
      </patternFill>
    </fill>
    <fill>
      <patternFill patternType="solid">
        <fgColor rgb="FFFFFFFF"/>
        <bgColor rgb="FFFFFFFF"/>
      </patternFill>
    </fill>
    <fill>
      <patternFill patternType="solid">
        <fgColor rgb="FFF1F5F9"/>
        <bgColor rgb="FFF1F5F9"/>
      </patternFill>
    </fill>
    <fill>
      <patternFill patternType="solid">
        <fgColor rgb="FF4F46E5"/>
        <bgColor rgb="FF4F46E5"/>
      </patternFill>
    </fill>
    <fill>
      <patternFill patternType="solid">
        <fgColor rgb="FFD97706"/>
        <bgColor rgb="FFD97706"/>
      </patternFill>
    </fill>
  </fills>
  <borders count="13">
    <border/>
    <border>
      <bottom style="medium">
        <color rgb="FF475569"/>
      </bottom>
    </border>
    <border>
      <left style="thin">
        <color rgb="FF475569"/>
      </left>
      <right style="thin">
        <color rgb="FF475569"/>
      </right>
      <top style="thin">
        <color rgb="FF475569"/>
      </top>
      <bottom style="thin">
        <color rgb="FF475569"/>
      </bottom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</border>
    <border>
      <left style="thin">
        <color rgb="FFBFDBFE"/>
      </left>
      <top style="thin">
        <color rgb="FFBFDBFE"/>
      </top>
      <bottom style="thin">
        <color rgb="FFBFDBFE"/>
      </bottom>
    </border>
    <border>
      <top style="thin">
        <color rgb="FFBFDBFE"/>
      </top>
      <bottom style="thin">
        <color rgb="FFBFDBFE"/>
      </bottom>
    </border>
    <border>
      <right style="thin">
        <color rgb="FFBFDBFE"/>
      </right>
      <top style="thin">
        <color rgb="FFBFDBFE"/>
      </top>
      <bottom style="thin">
        <color rgb="FFBFDBFE"/>
      </bottom>
    </border>
    <border>
      <left style="thin">
        <color rgb="FFE2E8F0"/>
      </left>
      <top style="thin">
        <color rgb="FFE2E8F0"/>
      </top>
      <bottom style="thin">
        <color rgb="FFE2E8F0"/>
      </bottom>
    </border>
    <border>
      <top style="thin">
        <color rgb="FFE2E8F0"/>
      </top>
      <bottom style="thin">
        <color rgb="FFE2E8F0"/>
      </bottom>
    </border>
    <border>
      <right style="thin">
        <color rgb="FFE2E8F0"/>
      </right>
      <top style="thin">
        <color rgb="FFE2E8F0"/>
      </top>
      <bottom style="thin">
        <color rgb="FFE2E8F0"/>
      </bottom>
    </border>
    <border>
      <left style="thin">
        <color rgb="FF4338CA"/>
      </left>
      <right style="thin">
        <color rgb="FF4338CA"/>
      </right>
      <top style="thin">
        <color rgb="FF4338CA"/>
      </top>
      <bottom style="thin">
        <color rgb="FF4338CA"/>
      </bottom>
    </border>
    <border>
      <left style="thin">
        <color rgb="FFB45309"/>
      </left>
      <right style="thin">
        <color rgb="FFB45309"/>
      </right>
      <top style="thin">
        <color rgb="FFB45309"/>
      </top>
      <bottom style="thin">
        <color rgb="FFB45309"/>
      </bottom>
    </border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0" fontId="2" numFmtId="0" xfId="0" applyBorder="1" applyFont="1"/>
    <xf borderId="2" fillId="2" fontId="3" numFmtId="0" xfId="0" applyAlignment="1" applyBorder="1" applyFill="1" applyFont="1">
      <alignment horizontal="center" vertical="center"/>
    </xf>
    <xf borderId="3" fillId="0" fontId="4" numFmtId="3" xfId="0" applyAlignment="1" applyBorder="1" applyFont="1" applyNumberFormat="1">
      <alignment horizontal="right"/>
    </xf>
    <xf borderId="4" fillId="0" fontId="4" numFmtId="164" xfId="0" applyAlignment="1" applyBorder="1" applyFont="1" applyNumberFormat="1">
      <alignment horizontal="right"/>
    </xf>
    <xf borderId="4" fillId="0" fontId="4" numFmtId="165" xfId="0" applyAlignment="1" applyBorder="1" applyFont="1" applyNumberFormat="1">
      <alignment horizontal="right"/>
    </xf>
    <xf borderId="4" fillId="0" fontId="4" numFmtId="0" xfId="0" applyAlignment="1" applyBorder="1" applyFont="1">
      <alignment horizontal="center"/>
    </xf>
    <xf borderId="4" fillId="0" fontId="4" numFmtId="165" xfId="0" applyAlignment="1" applyBorder="1" applyFont="1" applyNumberFormat="1">
      <alignment horizontal="right" readingOrder="0"/>
    </xf>
    <xf borderId="3" fillId="3" fontId="4" numFmtId="3" xfId="0" applyAlignment="1" applyBorder="1" applyFill="1" applyFont="1" applyNumberFormat="1">
      <alignment horizontal="right"/>
    </xf>
    <xf borderId="4" fillId="3" fontId="4" numFmtId="0" xfId="0" applyAlignment="1" applyBorder="1" applyFont="1">
      <alignment horizontal="center"/>
    </xf>
    <xf borderId="0" fillId="0" fontId="5" numFmtId="0" xfId="0" applyFont="1"/>
    <xf borderId="5" fillId="4" fontId="6" numFmtId="0" xfId="0" applyBorder="1" applyFill="1" applyFont="1"/>
    <xf borderId="6" fillId="0" fontId="7" numFmtId="0" xfId="0" applyBorder="1" applyFont="1"/>
    <xf borderId="7" fillId="0" fontId="7" numFmtId="0" xfId="0" applyBorder="1" applyFont="1"/>
    <xf borderId="8" fillId="5" fontId="8" numFmtId="0" xfId="0" applyBorder="1" applyFill="1" applyFont="1"/>
    <xf borderId="9" fillId="0" fontId="7" numFmtId="0" xfId="0" applyBorder="1" applyFont="1"/>
    <xf borderId="10" fillId="0" fontId="7" numFmtId="0" xfId="0" applyBorder="1" applyFont="1"/>
    <xf borderId="4" fillId="6" fontId="9" numFmtId="0" xfId="0" applyAlignment="1" applyBorder="1" applyFill="1" applyFont="1">
      <alignment horizontal="left"/>
    </xf>
    <xf borderId="4" fillId="0" fontId="4" numFmtId="3" xfId="0" applyAlignment="1" applyBorder="1" applyFont="1" applyNumberFormat="1">
      <alignment horizontal="right"/>
    </xf>
    <xf borderId="11" fillId="7" fontId="3" numFmtId="0" xfId="0" applyAlignment="1" applyBorder="1" applyFill="1" applyFont="1">
      <alignment horizontal="center" vertical="center"/>
    </xf>
    <xf borderId="12" fillId="8" fontId="3" numFmtId="0" xfId="0" applyAlignment="1" applyBorder="1" applyFill="1" applyFont="1">
      <alignment horizontal="center" vertical="center"/>
    </xf>
    <xf borderId="3" fillId="0" fontId="4" numFmtId="164" xfId="0" applyAlignment="1" applyBorder="1" applyFont="1" applyNumberFormat="1">
      <alignment horizontal="right"/>
    </xf>
    <xf borderId="3" fillId="3" fontId="4" numFmtId="164" xfId="0" applyAlignment="1" applyBorder="1" applyFont="1" applyNumberForma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1114425</xdr:colOff>
      <xdr:row>1</xdr:row>
      <xdr:rowOff>9525</xdr:rowOff>
    </xdr:from>
    <xdr:ext cx="6162675" cy="4781550"/>
    <xdr:pic>
      <xdr:nvPicPr>
        <xdr:cNvPr descr="temp_summary_time.png" id="0" name="image2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9525</xdr:colOff>
      <xdr:row>22</xdr:row>
      <xdr:rowOff>200025</xdr:rowOff>
    </xdr:from>
    <xdr:ext cx="6162675" cy="4781550"/>
    <xdr:pic>
      <xdr:nvPicPr>
        <xdr:cNvPr descr="temp_summary_height.png" id="0" name="image1.png" title="Imagen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32</xdr:col>
      <xdr:colOff>0</xdr:colOff>
      <xdr:row>2</xdr:row>
      <xdr:rowOff>0</xdr:rowOff>
    </xdr:from>
    <xdr:ext cx="8715375" cy="4314825"/>
    <xdr:pic>
      <xdr:nvPicPr>
        <xdr:cNvPr descr="temp_hist_4096.png" id="0" name="image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32</xdr:col>
      <xdr:colOff>0</xdr:colOff>
      <xdr:row>2</xdr:row>
      <xdr:rowOff>0</xdr:rowOff>
    </xdr:from>
    <xdr:ext cx="8715375" cy="4314825"/>
    <xdr:pic>
      <xdr:nvPicPr>
        <xdr:cNvPr descr="temp_hist_8192.png" id="0" name="image4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32</xdr:col>
      <xdr:colOff>0</xdr:colOff>
      <xdr:row>2</xdr:row>
      <xdr:rowOff>0</xdr:rowOff>
    </xdr:from>
    <xdr:ext cx="8715375" cy="4314825"/>
    <xdr:pic>
      <xdr:nvPicPr>
        <xdr:cNvPr descr="temp_hist_16384.png" id="0" name="image5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32</xdr:col>
      <xdr:colOff>0</xdr:colOff>
      <xdr:row>2</xdr:row>
      <xdr:rowOff>0</xdr:rowOff>
    </xdr:from>
    <xdr:ext cx="8715375" cy="4314825"/>
    <xdr:pic>
      <xdr:nvPicPr>
        <xdr:cNvPr descr="temp_hist_32768.png" id="0" name="image6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32</xdr:col>
      <xdr:colOff>0</xdr:colOff>
      <xdr:row>2</xdr:row>
      <xdr:rowOff>0</xdr:rowOff>
    </xdr:from>
    <xdr:ext cx="8715375" cy="4314825"/>
    <xdr:pic>
      <xdr:nvPicPr>
        <xdr:cNvPr descr="temp_hist_65536.png" id="0" name="image7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32</xdr:col>
      <xdr:colOff>0</xdr:colOff>
      <xdr:row>2</xdr:row>
      <xdr:rowOff>0</xdr:rowOff>
    </xdr:from>
    <xdr:ext cx="8715375" cy="4314825"/>
    <xdr:pic>
      <xdr:nvPicPr>
        <xdr:cNvPr descr="temp_hist_131072.png" id="0" name="image9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32</xdr:col>
      <xdr:colOff>0</xdr:colOff>
      <xdr:row>2</xdr:row>
      <xdr:rowOff>0</xdr:rowOff>
    </xdr:from>
    <xdr:ext cx="8715375" cy="4314825"/>
    <xdr:pic>
      <xdr:nvPicPr>
        <xdr:cNvPr descr="temp_hist_262144.png" id="0" name="image8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32</xdr:col>
      <xdr:colOff>0</xdr:colOff>
      <xdr:row>2</xdr:row>
      <xdr:rowOff>0</xdr:rowOff>
    </xdr:from>
    <xdr:ext cx="8715375" cy="4314825"/>
    <xdr:pic>
      <xdr:nvPicPr>
        <xdr:cNvPr descr="temp_hist_524288.png" id="0" name="image10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71"/>
    <col customWidth="1" min="2" max="2" width="14.71"/>
    <col customWidth="1" min="3" max="8" width="18.71"/>
    <col customWidth="1" min="9" max="9" width="12.71"/>
    <col customWidth="1" min="10" max="26" width="8.71"/>
  </cols>
  <sheetData>
    <row r="2">
      <c r="B2" s="1" t="s">
        <v>0</v>
      </c>
    </row>
    <row r="4">
      <c r="B4" s="2" t="s">
        <v>1</v>
      </c>
    </row>
    <row r="5">
      <c r="B5" s="3" t="s">
        <v>2</v>
      </c>
      <c r="C5" s="3" t="s">
        <v>3</v>
      </c>
      <c r="D5" s="3" t="s">
        <v>4</v>
      </c>
    </row>
    <row r="6">
      <c r="B6" s="4">
        <v>4096.0</v>
      </c>
      <c r="C6" s="5">
        <f>Inv_4096!C6</f>
        <v>0.004773</v>
      </c>
      <c r="D6" s="5">
        <f>Inv_4096!D6</f>
        <v>0.005284</v>
      </c>
    </row>
    <row r="7">
      <c r="B7" s="4">
        <v>8192.0</v>
      </c>
      <c r="C7" s="5">
        <f>Inv_8192!C6</f>
        <v>0.002433</v>
      </c>
      <c r="D7" s="5">
        <f>Inv_8192!D6</f>
        <v>0.002456</v>
      </c>
    </row>
    <row r="8">
      <c r="B8" s="4">
        <v>16384.0</v>
      </c>
      <c r="C8" s="5">
        <f>Inv_16384!C6</f>
        <v>0.010346</v>
      </c>
      <c r="D8" s="5">
        <f>Inv_16384!D6</f>
        <v>0.010112</v>
      </c>
    </row>
    <row r="9">
      <c r="B9" s="4">
        <v>32768.0</v>
      </c>
      <c r="C9" s="5">
        <f>Inv_32768!C6</f>
        <v>0.011198</v>
      </c>
      <c r="D9" s="5">
        <f>Inv_32768!D6</f>
        <v>0.010573</v>
      </c>
    </row>
    <row r="10">
      <c r="B10" s="4">
        <v>65536.0</v>
      </c>
      <c r="C10" s="5">
        <f>Inv_65536!C6</f>
        <v>0.028176</v>
      </c>
      <c r="D10" s="5">
        <f>Inv_65536!D6</f>
        <v>0.027274</v>
      </c>
    </row>
    <row r="11">
      <c r="B11" s="4">
        <v>131072.0</v>
      </c>
      <c r="C11" s="5">
        <f>Inv_131072!C6</f>
        <v>0.063822</v>
      </c>
      <c r="D11" s="5">
        <f>Inv_131072!D6</f>
        <v>0.0607</v>
      </c>
    </row>
    <row r="12">
      <c r="B12" s="4">
        <v>262144.0</v>
      </c>
      <c r="C12" s="5">
        <f>Inv_262144!C6</f>
        <v>0.143083</v>
      </c>
      <c r="D12" s="5">
        <f>Inv_262144!D6</f>
        <v>0.132946</v>
      </c>
    </row>
    <row r="13">
      <c r="B13" s="4">
        <v>524288.0</v>
      </c>
      <c r="C13" s="5">
        <f>Inv_524288!C6</f>
        <v>0.339905</v>
      </c>
      <c r="D13" s="5">
        <f>Inv_524288!D6</f>
        <v>0.312644</v>
      </c>
    </row>
    <row r="15">
      <c r="B15" s="2" t="s">
        <v>5</v>
      </c>
    </row>
    <row r="16">
      <c r="B16" s="3" t="s">
        <v>2</v>
      </c>
      <c r="C16" s="3" t="s">
        <v>6</v>
      </c>
      <c r="D16" s="3" t="s">
        <v>7</v>
      </c>
    </row>
    <row r="17">
      <c r="B17" s="4">
        <v>4096.0</v>
      </c>
      <c r="C17" s="6">
        <f>Inv_4096!C9</f>
        <v>0.3177037503</v>
      </c>
      <c r="D17" s="6">
        <f>Inv_4096!D9</f>
        <v>0.2910042897</v>
      </c>
    </row>
    <row r="18">
      <c r="B18" s="4">
        <v>8192.0</v>
      </c>
      <c r="C18" s="6">
        <f>Inv_8192!C9</f>
        <v>0.8718317578</v>
      </c>
      <c r="D18" s="6">
        <f>Inv_8192!D9</f>
        <v>0.876995114</v>
      </c>
    </row>
    <row r="19">
      <c r="B19" s="4">
        <v>16384.0</v>
      </c>
      <c r="C19" s="6">
        <f>Inv_16384!C9</f>
        <v>0.4926380566</v>
      </c>
      <c r="D19" s="6">
        <f>Inv_16384!D9</f>
        <v>0.4517273207</v>
      </c>
    </row>
    <row r="20">
      <c r="B20" s="4">
        <v>32768.0</v>
      </c>
      <c r="C20" s="6">
        <f>Inv_32768!C9</f>
        <v>0.7649639817</v>
      </c>
      <c r="D20" s="6">
        <f>Inv_32768!D9</f>
        <v>0.7706863394</v>
      </c>
    </row>
    <row r="21" ht="15.75" customHeight="1">
      <c r="B21" s="4">
        <v>65536.0</v>
      </c>
      <c r="C21" s="6">
        <f>Inv_65536!C9</f>
        <v>0.7129637517</v>
      </c>
      <c r="D21" s="6">
        <f>Inv_65536!D9</f>
        <v>0.6959692992</v>
      </c>
    </row>
    <row r="22" ht="15.75" customHeight="1">
      <c r="B22" s="4">
        <v>131072.0</v>
      </c>
      <c r="C22" s="6">
        <f>Inv_131072!C9</f>
        <v>0.712243427</v>
      </c>
      <c r="D22" s="6">
        <f>Inv_131072!D9</f>
        <v>0.6934486546</v>
      </c>
    </row>
    <row r="23" ht="15.75" customHeight="1">
      <c r="B23" s="4">
        <v>262144.0</v>
      </c>
      <c r="C23" s="6">
        <f>Inv_262144!C9</f>
        <v>0.7546876056</v>
      </c>
      <c r="D23" s="6">
        <f>Inv_262144!D9</f>
        <v>0.7507291181</v>
      </c>
    </row>
    <row r="24" ht="15.75" customHeight="1">
      <c r="B24" s="4">
        <v>524288.0</v>
      </c>
      <c r="C24" s="6">
        <f>Inv_524288!C9</f>
        <v>0.7980712258</v>
      </c>
      <c r="D24" s="6">
        <f>Inv_524288!D9</f>
        <v>0.7668365084</v>
      </c>
    </row>
    <row r="25" ht="15.75" customHeight="1"/>
    <row r="26" ht="15.75" customHeight="1"/>
    <row r="27" ht="15.75" customHeight="1">
      <c r="B27" s="2" t="s">
        <v>8</v>
      </c>
    </row>
    <row r="28" ht="15.75" customHeight="1">
      <c r="B28" s="3" t="s">
        <v>9</v>
      </c>
      <c r="C28" s="3" t="s">
        <v>10</v>
      </c>
      <c r="D28" s="3" t="s">
        <v>11</v>
      </c>
      <c r="E28" s="3" t="s">
        <v>12</v>
      </c>
      <c r="F28" s="3" t="s">
        <v>13</v>
      </c>
    </row>
    <row r="29" ht="15.75" customHeight="1">
      <c r="B29" s="7" t="s">
        <v>14</v>
      </c>
      <c r="C29" s="6">
        <f t="shared" ref="C29:C35" si="1">C7/C6</f>
        <v>0.5097423004</v>
      </c>
      <c r="D29" s="8">
        <v>0.4842076207</v>
      </c>
      <c r="E29" s="6">
        <f t="shared" ref="E29:E35" si="2">D7/D6</f>
        <v>0.4647993944</v>
      </c>
      <c r="F29" s="8">
        <v>0.486208479159287</v>
      </c>
    </row>
    <row r="30" ht="15.75" customHeight="1">
      <c r="B30" s="7" t="s">
        <v>15</v>
      </c>
      <c r="C30" s="6">
        <f t="shared" si="1"/>
        <v>4.252363337</v>
      </c>
      <c r="D30" s="6">
        <f t="shared" ref="D30:D35" si="3">LOG(C30, 2)</f>
        <v>2.088264871</v>
      </c>
      <c r="E30" s="6">
        <f t="shared" si="2"/>
        <v>4.117263844</v>
      </c>
      <c r="F30" s="6">
        <f t="shared" ref="F30:F35" si="4">LOG(E30, 2)</f>
        <v>2.041685903</v>
      </c>
    </row>
    <row r="31" ht="15.75" customHeight="1">
      <c r="B31" s="7" t="s">
        <v>16</v>
      </c>
      <c r="C31" s="6">
        <f t="shared" si="1"/>
        <v>1.082350667</v>
      </c>
      <c r="D31" s="6">
        <f t="shared" si="3"/>
        <v>0.1141679885</v>
      </c>
      <c r="E31" s="6">
        <f t="shared" si="2"/>
        <v>1.045589399</v>
      </c>
      <c r="F31" s="6">
        <f t="shared" si="4"/>
        <v>0.06431641879</v>
      </c>
    </row>
    <row r="32" ht="15.75" customHeight="1">
      <c r="B32" s="7" t="s">
        <v>17</v>
      </c>
      <c r="C32" s="6">
        <f t="shared" si="1"/>
        <v>2.516163601</v>
      </c>
      <c r="D32" s="6">
        <f t="shared" si="3"/>
        <v>1.331225729</v>
      </c>
      <c r="E32" s="6">
        <f t="shared" si="2"/>
        <v>2.57958952</v>
      </c>
      <c r="F32" s="6">
        <f t="shared" si="4"/>
        <v>1.367141514</v>
      </c>
    </row>
    <row r="33" ht="15.75" customHeight="1">
      <c r="B33" s="7" t="s">
        <v>18</v>
      </c>
      <c r="C33" s="6">
        <f t="shared" si="1"/>
        <v>2.26511925</v>
      </c>
      <c r="D33" s="6">
        <f t="shared" si="3"/>
        <v>1.179587005</v>
      </c>
      <c r="E33" s="6">
        <f t="shared" si="2"/>
        <v>2.225562807</v>
      </c>
      <c r="F33" s="6">
        <f t="shared" si="4"/>
        <v>1.154170215</v>
      </c>
    </row>
    <row r="34" ht="15.75" customHeight="1">
      <c r="B34" s="7" t="s">
        <v>19</v>
      </c>
      <c r="C34" s="6">
        <f t="shared" si="1"/>
        <v>2.241907179</v>
      </c>
      <c r="D34" s="6">
        <f t="shared" si="3"/>
        <v>1.164726548</v>
      </c>
      <c r="E34" s="6">
        <f t="shared" si="2"/>
        <v>2.190214168</v>
      </c>
      <c r="F34" s="6">
        <f t="shared" si="4"/>
        <v>1.131071949</v>
      </c>
    </row>
    <row r="35" ht="15.75" customHeight="1">
      <c r="B35" s="7" t="s">
        <v>20</v>
      </c>
      <c r="C35" s="6">
        <f t="shared" si="1"/>
        <v>2.375579209</v>
      </c>
      <c r="D35" s="6">
        <f t="shared" si="3"/>
        <v>1.248279312</v>
      </c>
      <c r="E35" s="6">
        <f t="shared" si="2"/>
        <v>2.351661577</v>
      </c>
      <c r="F35" s="6">
        <f t="shared" si="4"/>
        <v>1.23368046</v>
      </c>
    </row>
    <row r="36" ht="15.75" customHeight="1"/>
    <row r="37" ht="15.75" customHeight="1">
      <c r="B37" s="2" t="s">
        <v>21</v>
      </c>
    </row>
    <row r="38" ht="15.75" customHeight="1">
      <c r="B38" s="3" t="s">
        <v>2</v>
      </c>
      <c r="C38" s="3" t="s">
        <v>22</v>
      </c>
      <c r="D38" s="3" t="s">
        <v>23</v>
      </c>
      <c r="E38" s="3" t="s">
        <v>24</v>
      </c>
      <c r="F38" s="3" t="s">
        <v>25</v>
      </c>
      <c r="G38" s="3" t="s">
        <v>26</v>
      </c>
      <c r="H38" s="3" t="s">
        <v>27</v>
      </c>
      <c r="I38" s="3" t="s">
        <v>28</v>
      </c>
    </row>
    <row r="39" ht="15.75" customHeight="1">
      <c r="B39" s="4">
        <v>4096.0</v>
      </c>
      <c r="C39" s="7" t="s">
        <v>6</v>
      </c>
      <c r="D39" s="6">
        <f>AVERAGE(Inv_4096!J14:J43)</f>
        <v>53.93333333</v>
      </c>
      <c r="E39" s="6">
        <f>AVERAGE(Inv_4096!K14:K43)</f>
        <v>1183.733333</v>
      </c>
      <c r="F39" s="6">
        <f>AVERAGE(Inv_4096!L14:L43)</f>
        <v>22.83333333</v>
      </c>
      <c r="G39" s="6">
        <f>AVERAGE(Inv_4096!M14:M43)</f>
        <v>593</v>
      </c>
      <c r="H39" s="6">
        <f>AVERAGE(Inv_4096!N14:N43)</f>
        <v>0.03333333333</v>
      </c>
      <c r="I39" s="6">
        <f>AVERAGE(Inv_4096!O14:O43)</f>
        <v>403.3</v>
      </c>
    </row>
    <row r="40" ht="15.75" customHeight="1">
      <c r="B40" s="9">
        <v>4096.0</v>
      </c>
      <c r="C40" s="10" t="s">
        <v>7</v>
      </c>
      <c r="D40" s="6">
        <f>AVERAGE(Inv_4096!Z14:Z43)</f>
        <v>53.93333333</v>
      </c>
      <c r="E40" s="6">
        <f>AVERAGE(Inv_4096!AA14:AA43)</f>
        <v>1183.733333</v>
      </c>
      <c r="F40" s="6">
        <f>AVERAGE(Inv_4096!AB14:AB43)</f>
        <v>22.83333333</v>
      </c>
      <c r="G40" s="6">
        <f>AVERAGE(Inv_4096!AC14:AC43)</f>
        <v>593</v>
      </c>
      <c r="H40" s="6">
        <f>AVERAGE(Inv_4096!AD14:AD43)</f>
        <v>0.03333333333</v>
      </c>
      <c r="I40" s="6">
        <f>AVERAGE(Inv_4096!AE14:AE43)</f>
        <v>403.3</v>
      </c>
    </row>
    <row r="41" ht="15.75" customHeight="1">
      <c r="B41" s="4">
        <v>8192.0</v>
      </c>
      <c r="C41" s="7" t="s">
        <v>6</v>
      </c>
      <c r="D41" s="6">
        <f>AVERAGE(Inv_8192!J14:J43)</f>
        <v>107</v>
      </c>
      <c r="E41" s="6">
        <f>AVERAGE(Inv_8192!K14:K43)</f>
        <v>2356.133333</v>
      </c>
      <c r="F41" s="6">
        <f>AVERAGE(Inv_8192!L14:L43)</f>
        <v>50.06666667</v>
      </c>
      <c r="G41" s="6">
        <f>AVERAGE(Inv_8192!M14:M43)</f>
        <v>1180.566667</v>
      </c>
      <c r="H41" s="6">
        <f>AVERAGE(Inv_8192!N14:N43)</f>
        <v>0.2</v>
      </c>
      <c r="I41" s="6">
        <f>AVERAGE(Inv_8192!O14:O43)</f>
        <v>806.5</v>
      </c>
    </row>
    <row r="42" ht="15.75" customHeight="1">
      <c r="B42" s="9">
        <v>8192.0</v>
      </c>
      <c r="C42" s="10" t="s">
        <v>7</v>
      </c>
      <c r="D42" s="6">
        <f>AVERAGE(Inv_8192!Z14:Z43)</f>
        <v>107</v>
      </c>
      <c r="E42" s="6">
        <f>AVERAGE(Inv_8192!AA14:AA43)</f>
        <v>2356.133333</v>
      </c>
      <c r="F42" s="6">
        <f>AVERAGE(Inv_8192!AB14:AB43)</f>
        <v>50.06666667</v>
      </c>
      <c r="G42" s="6">
        <f>AVERAGE(Inv_8192!AC14:AC43)</f>
        <v>1180.566667</v>
      </c>
      <c r="H42" s="6">
        <f>AVERAGE(Inv_8192!AD14:AD43)</f>
        <v>0.2</v>
      </c>
      <c r="I42" s="6">
        <f>AVERAGE(Inv_8192!AE14:AE43)</f>
        <v>806.5</v>
      </c>
    </row>
    <row r="43" ht="15.75" customHeight="1">
      <c r="B43" s="4">
        <v>16384.0</v>
      </c>
      <c r="C43" s="7" t="s">
        <v>6</v>
      </c>
      <c r="D43" s="6">
        <f>AVERAGE(Inv_16384!J14:J43)</f>
        <v>212.1333333</v>
      </c>
      <c r="E43" s="6">
        <f>AVERAGE(Inv_16384!K14:K43)</f>
        <v>4699.166667</v>
      </c>
      <c r="F43" s="6">
        <f>AVERAGE(Inv_16384!L14:L43)</f>
        <v>95</v>
      </c>
      <c r="G43" s="6">
        <f>AVERAGE(Inv_16384!M14:M43)</f>
        <v>2372.066667</v>
      </c>
      <c r="H43" s="6">
        <f>AVERAGE(Inv_16384!N14:N43)</f>
        <v>0.5</v>
      </c>
      <c r="I43" s="6">
        <f>AVERAGE(Inv_16384!O14:O43)</f>
        <v>1639.3</v>
      </c>
    </row>
    <row r="44" ht="15.75" customHeight="1">
      <c r="B44" s="9">
        <v>16384.0</v>
      </c>
      <c r="C44" s="10" t="s">
        <v>7</v>
      </c>
      <c r="D44" s="6">
        <f>AVERAGE(Inv_16384!Z14:Z43)</f>
        <v>212.1333333</v>
      </c>
      <c r="E44" s="6">
        <f>AVERAGE(Inv_16384!AA14:AA43)</f>
        <v>4699.166667</v>
      </c>
      <c r="F44" s="6">
        <f>AVERAGE(Inv_16384!AB14:AB43)</f>
        <v>95</v>
      </c>
      <c r="G44" s="6">
        <f>AVERAGE(Inv_16384!AC14:AC43)</f>
        <v>2372.066667</v>
      </c>
      <c r="H44" s="6">
        <f>AVERAGE(Inv_16384!AD14:AD43)</f>
        <v>0.5</v>
      </c>
      <c r="I44" s="6">
        <f>AVERAGE(Inv_16384!AE14:AE43)</f>
        <v>1639.3</v>
      </c>
    </row>
    <row r="45" ht="15.75" customHeight="1">
      <c r="B45" s="4">
        <v>32768.0</v>
      </c>
      <c r="C45" s="7" t="s">
        <v>6</v>
      </c>
      <c r="D45" s="6">
        <f>AVERAGE(Inv_32768!J14:J43)</f>
        <v>416.0333333</v>
      </c>
      <c r="E45" s="6">
        <f>AVERAGE(Inv_32768!K14:K43)</f>
        <v>9439.8</v>
      </c>
      <c r="F45" s="6">
        <f>AVERAGE(Inv_32768!L14:L43)</f>
        <v>185.0333333</v>
      </c>
      <c r="G45" s="6">
        <f>AVERAGE(Inv_32768!M14:M43)</f>
        <v>4708.4</v>
      </c>
      <c r="H45" s="6">
        <f>AVERAGE(Inv_32768!N14:N43)</f>
        <v>1.4</v>
      </c>
      <c r="I45" s="6">
        <f>AVERAGE(Inv_32768!O14:O43)</f>
        <v>3270.166667</v>
      </c>
    </row>
    <row r="46" ht="15.75" customHeight="1">
      <c r="B46" s="9">
        <v>32768.0</v>
      </c>
      <c r="C46" s="10" t="s">
        <v>7</v>
      </c>
      <c r="D46" s="6">
        <f>AVERAGE(Inv_32768!Z14:Z43)</f>
        <v>416.0333333</v>
      </c>
      <c r="E46" s="6">
        <f>AVERAGE(Inv_32768!AA14:AA43)</f>
        <v>9439.8</v>
      </c>
      <c r="F46" s="6">
        <f>AVERAGE(Inv_32768!AB14:AB43)</f>
        <v>185.0333333</v>
      </c>
      <c r="G46" s="6">
        <f>AVERAGE(Inv_32768!AC14:AC43)</f>
        <v>4708.4</v>
      </c>
      <c r="H46" s="6">
        <f>AVERAGE(Inv_32768!AD14:AD43)</f>
        <v>1.4</v>
      </c>
      <c r="I46" s="6">
        <f>AVERAGE(Inv_32768!AE14:AE43)</f>
        <v>3270.166667</v>
      </c>
    </row>
    <row r="47" ht="15.75" customHeight="1">
      <c r="B47" s="4">
        <v>65536.0</v>
      </c>
      <c r="C47" s="7" t="s">
        <v>6</v>
      </c>
      <c r="D47" s="6">
        <f>AVERAGE(Inv_65536!J14:J43)</f>
        <v>825.5666667</v>
      </c>
      <c r="E47" s="6">
        <f>AVERAGE(Inv_65536!K14:K43)</f>
        <v>18829.73333</v>
      </c>
      <c r="F47" s="6">
        <f>AVERAGE(Inv_65536!L14:L43)</f>
        <v>369.5666667</v>
      </c>
      <c r="G47" s="6">
        <f>AVERAGE(Inv_65536!M14:M43)</f>
        <v>9470.966667</v>
      </c>
      <c r="H47" s="6">
        <f>AVERAGE(Inv_65536!N14:N43)</f>
        <v>1.766666667</v>
      </c>
      <c r="I47" s="6">
        <f>AVERAGE(Inv_65536!O14:O43)</f>
        <v>6561.566667</v>
      </c>
    </row>
    <row r="48" ht="15.75" customHeight="1">
      <c r="B48" s="9">
        <v>65536.0</v>
      </c>
      <c r="C48" s="10" t="s">
        <v>7</v>
      </c>
      <c r="D48" s="6">
        <f>AVERAGE(Inv_65536!Z14:Z43)</f>
        <v>825.5666667</v>
      </c>
      <c r="E48" s="6">
        <f>AVERAGE(Inv_65536!AA14:AA43)</f>
        <v>18829.73333</v>
      </c>
      <c r="F48" s="6">
        <f>AVERAGE(Inv_65536!AB14:AB43)</f>
        <v>369.5666667</v>
      </c>
      <c r="G48" s="6">
        <f>AVERAGE(Inv_65536!AC14:AC43)</f>
        <v>9470.966667</v>
      </c>
      <c r="H48" s="6">
        <f>AVERAGE(Inv_65536!AD14:AD43)</f>
        <v>1.766666667</v>
      </c>
      <c r="I48" s="6">
        <f>AVERAGE(Inv_65536!AE14:AE43)</f>
        <v>6561.566667</v>
      </c>
    </row>
    <row r="49" ht="15.75" customHeight="1">
      <c r="B49" s="4">
        <v>131072.0</v>
      </c>
      <c r="C49" s="7" t="s">
        <v>6</v>
      </c>
      <c r="D49" s="6">
        <f>AVERAGE(Inv_131072!J14:J43)</f>
        <v>1649.633333</v>
      </c>
      <c r="E49" s="6">
        <f>AVERAGE(Inv_131072!K14:K43)</f>
        <v>37680.56667</v>
      </c>
      <c r="F49" s="6">
        <f>AVERAGE(Inv_131072!L14:L43)</f>
        <v>757.0333333</v>
      </c>
      <c r="G49" s="6">
        <f>AVERAGE(Inv_131072!M14:M43)</f>
        <v>18902.86667</v>
      </c>
      <c r="H49" s="6">
        <f>AVERAGE(Inv_131072!N14:N43)</f>
        <v>3.466666667</v>
      </c>
      <c r="I49" s="6">
        <f>AVERAGE(Inv_131072!O14:O43)</f>
        <v>13105.6</v>
      </c>
    </row>
    <row r="50" ht="15.75" customHeight="1">
      <c r="B50" s="9">
        <v>131072.0</v>
      </c>
      <c r="C50" s="10" t="s">
        <v>7</v>
      </c>
      <c r="D50" s="6">
        <f>AVERAGE(Inv_131072!Z14:Z43)</f>
        <v>1649.633333</v>
      </c>
      <c r="E50" s="6">
        <f>AVERAGE(Inv_131072!AA14:AA43)</f>
        <v>37680.56667</v>
      </c>
      <c r="F50" s="6">
        <f>AVERAGE(Inv_131072!AB14:AB43)</f>
        <v>757.0333333</v>
      </c>
      <c r="G50" s="6">
        <f>AVERAGE(Inv_131072!AC14:AC43)</f>
        <v>18902.86667</v>
      </c>
      <c r="H50" s="6">
        <f>AVERAGE(Inv_131072!AD14:AD43)</f>
        <v>3.466666667</v>
      </c>
      <c r="I50" s="6">
        <f>AVERAGE(Inv_131072!AE14:AE43)</f>
        <v>13105.6</v>
      </c>
    </row>
    <row r="51" ht="15.75" customHeight="1">
      <c r="B51" s="4">
        <v>262144.0</v>
      </c>
      <c r="C51" s="7" t="s">
        <v>6</v>
      </c>
      <c r="D51" s="6">
        <f>AVERAGE(Inv_262144!J14:J43)</f>
        <v>3309.933333</v>
      </c>
      <c r="E51" s="6">
        <f>AVERAGE(Inv_262144!K14:K43)</f>
        <v>75305.96667</v>
      </c>
      <c r="F51" s="6">
        <f>AVERAGE(Inv_262144!L14:L43)</f>
        <v>1508.3</v>
      </c>
      <c r="G51" s="6">
        <f>AVERAGE(Inv_262144!M14:M43)</f>
        <v>37809.73333</v>
      </c>
      <c r="H51" s="6">
        <f>AVERAGE(Inv_262144!N14:N43)</f>
        <v>6.833333333</v>
      </c>
      <c r="I51" s="6">
        <f>AVERAGE(Inv_262144!O14:O43)</f>
        <v>26223.4</v>
      </c>
    </row>
    <row r="52" ht="15.75" customHeight="1">
      <c r="B52" s="9">
        <v>262144.0</v>
      </c>
      <c r="C52" s="10" t="s">
        <v>7</v>
      </c>
      <c r="D52" s="6">
        <f>AVERAGE(Inv_262144!Z14:Z43)</f>
        <v>3309.933333</v>
      </c>
      <c r="E52" s="6">
        <f>AVERAGE(Inv_262144!AA14:AA43)</f>
        <v>75305.96667</v>
      </c>
      <c r="F52" s="6">
        <f>AVERAGE(Inv_262144!AB14:AB43)</f>
        <v>1508.3</v>
      </c>
      <c r="G52" s="6">
        <f>AVERAGE(Inv_262144!AC14:AC43)</f>
        <v>37809.73333</v>
      </c>
      <c r="H52" s="6">
        <f>AVERAGE(Inv_262144!AD14:AD43)</f>
        <v>6.833333333</v>
      </c>
      <c r="I52" s="6">
        <f>AVERAGE(Inv_262144!AE14:AE43)</f>
        <v>26223.4</v>
      </c>
    </row>
    <row r="53" ht="15.75" customHeight="1">
      <c r="B53" s="4">
        <v>524288.0</v>
      </c>
      <c r="C53" s="7" t="s">
        <v>6</v>
      </c>
      <c r="D53" s="6">
        <f>AVERAGE(Inv_524288!J14:J43)</f>
        <v>6610.4</v>
      </c>
      <c r="E53" s="6">
        <f>AVERAGE(Inv_524288!K14:K43)</f>
        <v>150680.6</v>
      </c>
      <c r="F53" s="6">
        <f>AVERAGE(Inv_524288!L14:L43)</f>
        <v>2971.8</v>
      </c>
      <c r="G53" s="6">
        <f>AVERAGE(Inv_524288!M14:M43)</f>
        <v>75694.13333</v>
      </c>
      <c r="H53" s="6">
        <f>AVERAGE(Inv_524288!N14:N43)</f>
        <v>15.23333333</v>
      </c>
      <c r="I53" s="6">
        <f>AVERAGE(Inv_524288!O14:O43)</f>
        <v>52427.93333</v>
      </c>
    </row>
    <row r="54" ht="15.75" customHeight="1">
      <c r="B54" s="9">
        <v>524288.0</v>
      </c>
      <c r="C54" s="10" t="s">
        <v>7</v>
      </c>
      <c r="D54" s="6">
        <f>AVERAGE(Inv_524288!Z14:Z43)</f>
        <v>6610.4</v>
      </c>
      <c r="E54" s="6">
        <f>AVERAGE(Inv_524288!AA14:AA43)</f>
        <v>150680.6</v>
      </c>
      <c r="F54" s="6">
        <f>AVERAGE(Inv_524288!AB14:AB43)</f>
        <v>2971.8</v>
      </c>
      <c r="G54" s="6">
        <f>AVERAGE(Inv_524288!AC14:AC43)</f>
        <v>75694.13333</v>
      </c>
      <c r="H54" s="6">
        <f>AVERAGE(Inv_524288!AD14:AD43)</f>
        <v>15.23333333</v>
      </c>
      <c r="I54" s="6">
        <f>AVERAGE(Inv_524288!AE14:AE43)</f>
        <v>52427.93333</v>
      </c>
    </row>
    <row r="55" ht="15.75" customHeight="1"/>
    <row r="56" ht="15.75" customHeight="1"/>
    <row r="57" ht="15.75" customHeight="1">
      <c r="B57" s="11" t="s">
        <v>29</v>
      </c>
    </row>
    <row r="58" ht="15.75" customHeight="1"/>
    <row r="59" ht="15.75" customHeight="1">
      <c r="B59" s="12" t="s">
        <v>30</v>
      </c>
      <c r="C59" s="13"/>
      <c r="D59" s="13"/>
      <c r="E59" s="13"/>
      <c r="F59" s="13"/>
      <c r="G59" s="14"/>
    </row>
    <row r="60" ht="15.75" customHeight="1">
      <c r="B60" s="15" t="s">
        <v>31</v>
      </c>
      <c r="C60" s="16"/>
      <c r="D60" s="16"/>
      <c r="E60" s="16"/>
      <c r="F60" s="16"/>
      <c r="G60" s="17"/>
    </row>
    <row r="61" ht="15.75" customHeight="1"/>
    <row r="62" ht="15.75" customHeight="1">
      <c r="B62" s="12" t="s">
        <v>32</v>
      </c>
      <c r="C62" s="13"/>
      <c r="D62" s="13"/>
      <c r="E62" s="13"/>
      <c r="F62" s="13"/>
      <c r="G62" s="14"/>
    </row>
    <row r="63" ht="15.75" customHeight="1">
      <c r="B63" s="15" t="s">
        <v>33</v>
      </c>
      <c r="C63" s="16"/>
      <c r="D63" s="16"/>
      <c r="E63" s="16"/>
      <c r="F63" s="16"/>
      <c r="G63" s="17"/>
    </row>
    <row r="64" ht="15.75" customHeight="1"/>
    <row r="65" ht="15.75" customHeight="1">
      <c r="B65" s="12" t="s">
        <v>34</v>
      </c>
      <c r="C65" s="13"/>
      <c r="D65" s="13"/>
      <c r="E65" s="13"/>
      <c r="F65" s="13"/>
      <c r="G65" s="14"/>
    </row>
    <row r="66" ht="15.75" customHeight="1">
      <c r="B66" s="15" t="s">
        <v>35</v>
      </c>
      <c r="C66" s="16"/>
      <c r="D66" s="16"/>
      <c r="E66" s="16"/>
      <c r="F66" s="16"/>
      <c r="G66" s="17"/>
    </row>
    <row r="67" ht="15.75" customHeight="1"/>
    <row r="68" ht="15.75" customHeight="1">
      <c r="B68" s="12" t="s">
        <v>36</v>
      </c>
      <c r="C68" s="13"/>
      <c r="D68" s="13"/>
      <c r="E68" s="13"/>
      <c r="F68" s="13"/>
      <c r="G68" s="14"/>
    </row>
    <row r="69" ht="15.75" customHeight="1">
      <c r="B69" s="15" t="s">
        <v>37</v>
      </c>
      <c r="C69" s="16"/>
      <c r="D69" s="16"/>
      <c r="E69" s="16"/>
      <c r="F69" s="16"/>
      <c r="G69" s="17"/>
    </row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B59:G59"/>
    <mergeCell ref="B60:G60"/>
    <mergeCell ref="B62:G62"/>
    <mergeCell ref="B63:G63"/>
    <mergeCell ref="B65:G65"/>
    <mergeCell ref="B66:G66"/>
    <mergeCell ref="B68:G68"/>
    <mergeCell ref="B69:G69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1.71"/>
    <col customWidth="1" min="2" max="2" width="14.71"/>
    <col customWidth="1" min="3" max="15" width="11.71"/>
    <col customWidth="1" min="16" max="16" width="3.71"/>
    <col customWidth="1" min="17" max="17" width="11.71"/>
    <col customWidth="1" min="18" max="18" width="14.71"/>
    <col customWidth="1" min="19" max="31" width="11.71"/>
    <col customWidth="1" min="32" max="48" width="8.71"/>
  </cols>
  <sheetData>
    <row r="1">
      <c r="A1" s="1" t="s">
        <v>38</v>
      </c>
    </row>
    <row r="3">
      <c r="B3" s="2" t="s">
        <v>39</v>
      </c>
    </row>
    <row r="4">
      <c r="B4" s="3" t="s">
        <v>40</v>
      </c>
      <c r="C4" s="3" t="s">
        <v>6</v>
      </c>
      <c r="D4" s="3" t="s">
        <v>7</v>
      </c>
    </row>
    <row r="5">
      <c r="B5" s="18" t="s">
        <v>41</v>
      </c>
      <c r="C5" s="5">
        <f>MIN(B14:B43)</f>
        <v>0.000958</v>
      </c>
      <c r="D5" s="5">
        <f>MIN(R14:R43)</f>
        <v>0.000936</v>
      </c>
    </row>
    <row r="6">
      <c r="B6" s="18" t="s">
        <v>42</v>
      </c>
      <c r="C6" s="5">
        <f>MAX(B14:B43)</f>
        <v>0.004773</v>
      </c>
      <c r="D6" s="5">
        <f>MAX(R14:R43)</f>
        <v>0.005284</v>
      </c>
    </row>
    <row r="7">
      <c r="B7" s="18" t="s">
        <v>43</v>
      </c>
      <c r="C7" s="5">
        <f>AVERAGE(B14:B43)</f>
        <v>0.0015164</v>
      </c>
      <c r="D7" s="5">
        <f>AVERAGE(R14:R43)</f>
        <v>0.001537666667</v>
      </c>
    </row>
    <row r="8">
      <c r="B8" s="18" t="s">
        <v>44</v>
      </c>
      <c r="C8" s="5">
        <f>_xlfn.STDEV.S(B14:B43)</f>
        <v>0.0008487176778</v>
      </c>
      <c r="D8" s="5">
        <f>_xlfn.STDEV.S(R14:R43)</f>
        <v>0.0009615892497</v>
      </c>
    </row>
    <row r="9">
      <c r="B9" s="18" t="s">
        <v>45</v>
      </c>
      <c r="C9" s="6">
        <f t="shared" ref="C9:D9" si="1">C7/C6</f>
        <v>0.3177037503</v>
      </c>
      <c r="D9" s="6">
        <f t="shared" si="1"/>
        <v>0.2910042897</v>
      </c>
    </row>
    <row r="10">
      <c r="B10" s="18" t="s">
        <v>46</v>
      </c>
      <c r="C10" s="6">
        <f>AVERAGE(C14:C43)</f>
        <v>21.83333333</v>
      </c>
      <c r="D10" s="6">
        <f>AVERAGE(S14:S43)</f>
        <v>13.16666667</v>
      </c>
    </row>
    <row r="11">
      <c r="B11" s="18" t="s">
        <v>47</v>
      </c>
      <c r="C11" s="19">
        <f>MAX(C14:C43)</f>
        <v>25</v>
      </c>
      <c r="D11" s="19">
        <f>MAX(S14:S43)</f>
        <v>15</v>
      </c>
    </row>
    <row r="12">
      <c r="A12" s="2" t="s">
        <v>48</v>
      </c>
      <c r="Q12" s="2" t="s">
        <v>49</v>
      </c>
    </row>
    <row r="13">
      <c r="A13" s="20" t="s">
        <v>50</v>
      </c>
      <c r="B13" s="20" t="s">
        <v>51</v>
      </c>
      <c r="C13" s="20" t="s">
        <v>52</v>
      </c>
      <c r="D13" s="20" t="s">
        <v>53</v>
      </c>
      <c r="E13" s="20" t="s">
        <v>54</v>
      </c>
      <c r="F13" s="20" t="s">
        <v>55</v>
      </c>
      <c r="G13" s="20" t="s">
        <v>56</v>
      </c>
      <c r="H13" s="20" t="s">
        <v>57</v>
      </c>
      <c r="I13" s="20" t="s">
        <v>58</v>
      </c>
      <c r="J13" s="20" t="s">
        <v>59</v>
      </c>
      <c r="K13" s="20" t="s">
        <v>60</v>
      </c>
      <c r="L13" s="20" t="s">
        <v>61</v>
      </c>
      <c r="M13" s="20" t="s">
        <v>62</v>
      </c>
      <c r="N13" s="20" t="s">
        <v>63</v>
      </c>
      <c r="O13" s="20" t="s">
        <v>64</v>
      </c>
      <c r="Q13" s="21" t="s">
        <v>50</v>
      </c>
      <c r="R13" s="21" t="s">
        <v>51</v>
      </c>
      <c r="S13" s="21" t="s">
        <v>52</v>
      </c>
      <c r="T13" s="21" t="s">
        <v>53</v>
      </c>
      <c r="U13" s="21" t="s">
        <v>54</v>
      </c>
      <c r="V13" s="21" t="s">
        <v>55</v>
      </c>
      <c r="W13" s="21" t="s">
        <v>56</v>
      </c>
      <c r="X13" s="21" t="s">
        <v>57</v>
      </c>
      <c r="Y13" s="21" t="s">
        <v>58</v>
      </c>
      <c r="Z13" s="21" t="s">
        <v>59</v>
      </c>
      <c r="AA13" s="21" t="s">
        <v>60</v>
      </c>
      <c r="AB13" s="21" t="s">
        <v>61</v>
      </c>
      <c r="AC13" s="21" t="s">
        <v>62</v>
      </c>
      <c r="AD13" s="21" t="s">
        <v>63</v>
      </c>
      <c r="AE13" s="21" t="s">
        <v>64</v>
      </c>
    </row>
    <row r="14">
      <c r="A14" s="4">
        <v>1.0</v>
      </c>
      <c r="B14" s="22">
        <v>0.004773</v>
      </c>
      <c r="C14" s="4">
        <v>23.0</v>
      </c>
      <c r="D14" s="4">
        <v>1335.0</v>
      </c>
      <c r="E14" s="4">
        <v>1413.0</v>
      </c>
      <c r="F14" s="4">
        <v>1208.0</v>
      </c>
      <c r="G14" s="4">
        <v>648.0</v>
      </c>
      <c r="H14" s="4">
        <v>418.0</v>
      </c>
      <c r="I14" s="4">
        <v>409.0</v>
      </c>
      <c r="J14" s="4">
        <v>61.0</v>
      </c>
      <c r="K14" s="4">
        <v>1147.0</v>
      </c>
      <c r="L14" s="4">
        <v>21.0</v>
      </c>
      <c r="M14" s="4">
        <v>627.0</v>
      </c>
      <c r="N14" s="4">
        <v>0.0</v>
      </c>
      <c r="O14" s="4">
        <v>418.0</v>
      </c>
      <c r="Q14" s="4">
        <v>1.0</v>
      </c>
      <c r="R14" s="22">
        <v>0.005284</v>
      </c>
      <c r="S14" s="4">
        <v>13.0</v>
      </c>
      <c r="T14" s="4">
        <v>1335.0</v>
      </c>
      <c r="U14" s="4">
        <v>1413.0</v>
      </c>
      <c r="V14" s="4">
        <v>1208.0</v>
      </c>
      <c r="W14" s="4">
        <v>648.0</v>
      </c>
      <c r="X14" s="4">
        <v>418.0</v>
      </c>
      <c r="Y14" s="4">
        <v>409.0</v>
      </c>
      <c r="Z14" s="4">
        <v>61.0</v>
      </c>
      <c r="AA14" s="4">
        <v>1147.0</v>
      </c>
      <c r="AB14" s="4">
        <v>21.0</v>
      </c>
      <c r="AC14" s="4">
        <v>627.0</v>
      </c>
      <c r="AD14" s="4">
        <v>0.0</v>
      </c>
      <c r="AE14" s="4">
        <v>418.0</v>
      </c>
    </row>
    <row r="15">
      <c r="A15" s="9">
        <v>2.0</v>
      </c>
      <c r="B15" s="23">
        <v>0.002309</v>
      </c>
      <c r="C15" s="9">
        <v>21.0</v>
      </c>
      <c r="D15" s="9">
        <v>1336.0</v>
      </c>
      <c r="E15" s="9">
        <v>1430.0</v>
      </c>
      <c r="F15" s="9">
        <v>1250.0</v>
      </c>
      <c r="G15" s="9">
        <v>597.0</v>
      </c>
      <c r="H15" s="9">
        <v>418.0</v>
      </c>
      <c r="I15" s="9">
        <v>401.0</v>
      </c>
      <c r="J15" s="9">
        <v>56.0</v>
      </c>
      <c r="K15" s="9">
        <v>1194.0</v>
      </c>
      <c r="L15" s="9">
        <v>21.0</v>
      </c>
      <c r="M15" s="9">
        <v>576.0</v>
      </c>
      <c r="N15" s="9">
        <v>0.0</v>
      </c>
      <c r="O15" s="9">
        <v>418.0</v>
      </c>
      <c r="Q15" s="9">
        <v>2.0</v>
      </c>
      <c r="R15" s="23">
        <v>0.003326</v>
      </c>
      <c r="S15" s="9">
        <v>13.0</v>
      </c>
      <c r="T15" s="9">
        <v>1336.0</v>
      </c>
      <c r="U15" s="9">
        <v>1430.0</v>
      </c>
      <c r="V15" s="9">
        <v>1250.0</v>
      </c>
      <c r="W15" s="9">
        <v>597.0</v>
      </c>
      <c r="X15" s="9">
        <v>418.0</v>
      </c>
      <c r="Y15" s="9">
        <v>401.0</v>
      </c>
      <c r="Z15" s="9">
        <v>56.0</v>
      </c>
      <c r="AA15" s="9">
        <v>1194.0</v>
      </c>
      <c r="AB15" s="9">
        <v>21.0</v>
      </c>
      <c r="AC15" s="9">
        <v>576.0</v>
      </c>
      <c r="AD15" s="9">
        <v>0.0</v>
      </c>
      <c r="AE15" s="9">
        <v>418.0</v>
      </c>
    </row>
    <row r="16">
      <c r="A16" s="4">
        <v>3.0</v>
      </c>
      <c r="B16" s="22">
        <v>0.002441</v>
      </c>
      <c r="C16" s="4">
        <v>22.0</v>
      </c>
      <c r="D16" s="4">
        <v>1373.0</v>
      </c>
      <c r="E16" s="4">
        <v>1447.0</v>
      </c>
      <c r="F16" s="4">
        <v>1226.0</v>
      </c>
      <c r="G16" s="4">
        <v>613.0</v>
      </c>
      <c r="H16" s="4">
        <v>399.0</v>
      </c>
      <c r="I16" s="4">
        <v>411.0</v>
      </c>
      <c r="J16" s="4">
        <v>61.0</v>
      </c>
      <c r="K16" s="4">
        <v>1165.0</v>
      </c>
      <c r="L16" s="4">
        <v>25.0</v>
      </c>
      <c r="M16" s="4">
        <v>588.0</v>
      </c>
      <c r="N16" s="4">
        <v>0.0</v>
      </c>
      <c r="O16" s="4">
        <v>399.0</v>
      </c>
      <c r="Q16" s="4">
        <v>3.0</v>
      </c>
      <c r="R16" s="22">
        <v>0.002481</v>
      </c>
      <c r="S16" s="4">
        <v>13.0</v>
      </c>
      <c r="T16" s="4">
        <v>1373.0</v>
      </c>
      <c r="U16" s="4">
        <v>1447.0</v>
      </c>
      <c r="V16" s="4">
        <v>1226.0</v>
      </c>
      <c r="W16" s="4">
        <v>613.0</v>
      </c>
      <c r="X16" s="4">
        <v>399.0</v>
      </c>
      <c r="Y16" s="4">
        <v>411.0</v>
      </c>
      <c r="Z16" s="4">
        <v>61.0</v>
      </c>
      <c r="AA16" s="4">
        <v>1165.0</v>
      </c>
      <c r="AB16" s="4">
        <v>25.0</v>
      </c>
      <c r="AC16" s="4">
        <v>588.0</v>
      </c>
      <c r="AD16" s="4">
        <v>0.0</v>
      </c>
      <c r="AE16" s="4">
        <v>399.0</v>
      </c>
    </row>
    <row r="17">
      <c r="A17" s="9">
        <v>4.0</v>
      </c>
      <c r="B17" s="23">
        <v>0.002629</v>
      </c>
      <c r="C17" s="9">
        <v>20.0</v>
      </c>
      <c r="D17" s="9">
        <v>1342.0</v>
      </c>
      <c r="E17" s="9">
        <v>1413.0</v>
      </c>
      <c r="F17" s="9">
        <v>1235.0</v>
      </c>
      <c r="G17" s="9">
        <v>614.0</v>
      </c>
      <c r="H17" s="9">
        <v>432.0</v>
      </c>
      <c r="I17" s="9">
        <v>402.0</v>
      </c>
      <c r="J17" s="9">
        <v>57.0</v>
      </c>
      <c r="K17" s="9">
        <v>1178.0</v>
      </c>
      <c r="L17" s="9">
        <v>20.0</v>
      </c>
      <c r="M17" s="9">
        <v>594.0</v>
      </c>
      <c r="N17" s="9">
        <v>0.0</v>
      </c>
      <c r="O17" s="9">
        <v>432.0</v>
      </c>
      <c r="Q17" s="9">
        <v>4.0</v>
      </c>
      <c r="R17" s="23">
        <v>0.002395</v>
      </c>
      <c r="S17" s="9">
        <v>13.0</v>
      </c>
      <c r="T17" s="9">
        <v>1342.0</v>
      </c>
      <c r="U17" s="9">
        <v>1413.0</v>
      </c>
      <c r="V17" s="9">
        <v>1235.0</v>
      </c>
      <c r="W17" s="9">
        <v>614.0</v>
      </c>
      <c r="X17" s="9">
        <v>432.0</v>
      </c>
      <c r="Y17" s="9">
        <v>402.0</v>
      </c>
      <c r="Z17" s="9">
        <v>57.0</v>
      </c>
      <c r="AA17" s="9">
        <v>1178.0</v>
      </c>
      <c r="AB17" s="9">
        <v>20.0</v>
      </c>
      <c r="AC17" s="9">
        <v>594.0</v>
      </c>
      <c r="AD17" s="9">
        <v>0.0</v>
      </c>
      <c r="AE17" s="9">
        <v>432.0</v>
      </c>
    </row>
    <row r="18">
      <c r="A18" s="4">
        <v>5.0</v>
      </c>
      <c r="B18" s="22">
        <v>0.002348</v>
      </c>
      <c r="C18" s="4">
        <v>21.0</v>
      </c>
      <c r="D18" s="4">
        <v>1369.0</v>
      </c>
      <c r="E18" s="4">
        <v>1444.0</v>
      </c>
      <c r="F18" s="4">
        <v>1242.0</v>
      </c>
      <c r="G18" s="4">
        <v>604.0</v>
      </c>
      <c r="H18" s="4">
        <v>404.0</v>
      </c>
      <c r="I18" s="4">
        <v>402.0</v>
      </c>
      <c r="J18" s="4">
        <v>49.0</v>
      </c>
      <c r="K18" s="4">
        <v>1193.0</v>
      </c>
      <c r="L18" s="4">
        <v>16.0</v>
      </c>
      <c r="M18" s="4">
        <v>588.0</v>
      </c>
      <c r="N18" s="4">
        <v>0.0</v>
      </c>
      <c r="O18" s="4">
        <v>404.0</v>
      </c>
      <c r="Q18" s="4">
        <v>5.0</v>
      </c>
      <c r="R18" s="22">
        <v>0.002434</v>
      </c>
      <c r="S18" s="4">
        <v>13.0</v>
      </c>
      <c r="T18" s="4">
        <v>1369.0</v>
      </c>
      <c r="U18" s="4">
        <v>1444.0</v>
      </c>
      <c r="V18" s="4">
        <v>1242.0</v>
      </c>
      <c r="W18" s="4">
        <v>604.0</v>
      </c>
      <c r="X18" s="4">
        <v>404.0</v>
      </c>
      <c r="Y18" s="4">
        <v>402.0</v>
      </c>
      <c r="Z18" s="4">
        <v>49.0</v>
      </c>
      <c r="AA18" s="4">
        <v>1193.0</v>
      </c>
      <c r="AB18" s="4">
        <v>16.0</v>
      </c>
      <c r="AC18" s="4">
        <v>588.0</v>
      </c>
      <c r="AD18" s="4">
        <v>0.0</v>
      </c>
      <c r="AE18" s="4">
        <v>404.0</v>
      </c>
    </row>
    <row r="19">
      <c r="A19" s="9">
        <v>6.0</v>
      </c>
      <c r="B19" s="23">
        <v>0.002295</v>
      </c>
      <c r="C19" s="9">
        <v>25.0</v>
      </c>
      <c r="D19" s="9">
        <v>1363.0</v>
      </c>
      <c r="E19" s="9">
        <v>1455.0</v>
      </c>
      <c r="F19" s="9">
        <v>1225.0</v>
      </c>
      <c r="G19" s="9">
        <v>628.0</v>
      </c>
      <c r="H19" s="9">
        <v>370.0</v>
      </c>
      <c r="I19" s="9">
        <v>418.0</v>
      </c>
      <c r="J19" s="9">
        <v>49.0</v>
      </c>
      <c r="K19" s="9">
        <v>1176.0</v>
      </c>
      <c r="L19" s="9">
        <v>20.0</v>
      </c>
      <c r="M19" s="9">
        <v>608.0</v>
      </c>
      <c r="N19" s="9">
        <v>0.0</v>
      </c>
      <c r="O19" s="9">
        <v>370.0</v>
      </c>
      <c r="Q19" s="9">
        <v>6.0</v>
      </c>
      <c r="R19" s="23">
        <v>0.002273</v>
      </c>
      <c r="S19" s="9">
        <v>13.0</v>
      </c>
      <c r="T19" s="9">
        <v>1363.0</v>
      </c>
      <c r="U19" s="9">
        <v>1455.0</v>
      </c>
      <c r="V19" s="9">
        <v>1225.0</v>
      </c>
      <c r="W19" s="9">
        <v>628.0</v>
      </c>
      <c r="X19" s="9">
        <v>370.0</v>
      </c>
      <c r="Y19" s="9">
        <v>418.0</v>
      </c>
      <c r="Z19" s="9">
        <v>49.0</v>
      </c>
      <c r="AA19" s="9">
        <v>1176.0</v>
      </c>
      <c r="AB19" s="9">
        <v>20.0</v>
      </c>
      <c r="AC19" s="9">
        <v>608.0</v>
      </c>
      <c r="AD19" s="9">
        <v>0.0</v>
      </c>
      <c r="AE19" s="9">
        <v>370.0</v>
      </c>
    </row>
    <row r="20">
      <c r="A20" s="4">
        <v>7.0</v>
      </c>
      <c r="B20" s="22">
        <v>0.00232</v>
      </c>
      <c r="C20" s="4">
        <v>22.0</v>
      </c>
      <c r="D20" s="4">
        <v>1320.0</v>
      </c>
      <c r="E20" s="4">
        <v>1395.0</v>
      </c>
      <c r="F20" s="4">
        <v>1234.0</v>
      </c>
      <c r="G20" s="4">
        <v>666.0</v>
      </c>
      <c r="H20" s="4">
        <v>391.0</v>
      </c>
      <c r="I20" s="4">
        <v>410.0</v>
      </c>
      <c r="J20" s="4">
        <v>43.0</v>
      </c>
      <c r="K20" s="4">
        <v>1191.0</v>
      </c>
      <c r="L20" s="4">
        <v>25.0</v>
      </c>
      <c r="M20" s="4">
        <v>641.0</v>
      </c>
      <c r="N20" s="4">
        <v>0.0</v>
      </c>
      <c r="O20" s="4">
        <v>391.0</v>
      </c>
      <c r="Q20" s="4">
        <v>7.0</v>
      </c>
      <c r="R20" s="22">
        <v>0.002304</v>
      </c>
      <c r="S20" s="4">
        <v>13.0</v>
      </c>
      <c r="T20" s="4">
        <v>1320.0</v>
      </c>
      <c r="U20" s="4">
        <v>1395.0</v>
      </c>
      <c r="V20" s="4">
        <v>1234.0</v>
      </c>
      <c r="W20" s="4">
        <v>666.0</v>
      </c>
      <c r="X20" s="4">
        <v>391.0</v>
      </c>
      <c r="Y20" s="4">
        <v>410.0</v>
      </c>
      <c r="Z20" s="4">
        <v>43.0</v>
      </c>
      <c r="AA20" s="4">
        <v>1191.0</v>
      </c>
      <c r="AB20" s="4">
        <v>25.0</v>
      </c>
      <c r="AC20" s="4">
        <v>641.0</v>
      </c>
      <c r="AD20" s="4">
        <v>0.0</v>
      </c>
      <c r="AE20" s="4">
        <v>391.0</v>
      </c>
    </row>
    <row r="21" ht="15.75" customHeight="1">
      <c r="A21" s="9">
        <v>8.0</v>
      </c>
      <c r="B21" s="23">
        <v>0.002246</v>
      </c>
      <c r="C21" s="9">
        <v>21.0</v>
      </c>
      <c r="D21" s="9">
        <v>1385.0</v>
      </c>
      <c r="E21" s="9">
        <v>1470.0</v>
      </c>
      <c r="F21" s="9">
        <v>1220.0</v>
      </c>
      <c r="G21" s="9">
        <v>613.0</v>
      </c>
      <c r="H21" s="9">
        <v>418.0</v>
      </c>
      <c r="I21" s="9">
        <v>375.0</v>
      </c>
      <c r="J21" s="9">
        <v>70.0</v>
      </c>
      <c r="K21" s="9">
        <v>1150.0</v>
      </c>
      <c r="L21" s="9">
        <v>25.0</v>
      </c>
      <c r="M21" s="9">
        <v>588.0</v>
      </c>
      <c r="N21" s="9">
        <v>0.0</v>
      </c>
      <c r="O21" s="9">
        <v>418.0</v>
      </c>
      <c r="Q21" s="9">
        <v>8.0</v>
      </c>
      <c r="R21" s="23">
        <v>0.002368</v>
      </c>
      <c r="S21" s="9">
        <v>14.0</v>
      </c>
      <c r="T21" s="9">
        <v>1385.0</v>
      </c>
      <c r="U21" s="9">
        <v>1470.0</v>
      </c>
      <c r="V21" s="9">
        <v>1220.0</v>
      </c>
      <c r="W21" s="9">
        <v>613.0</v>
      </c>
      <c r="X21" s="9">
        <v>418.0</v>
      </c>
      <c r="Y21" s="9">
        <v>375.0</v>
      </c>
      <c r="Z21" s="9">
        <v>70.0</v>
      </c>
      <c r="AA21" s="9">
        <v>1150.0</v>
      </c>
      <c r="AB21" s="9">
        <v>25.0</v>
      </c>
      <c r="AC21" s="9">
        <v>588.0</v>
      </c>
      <c r="AD21" s="9">
        <v>0.0</v>
      </c>
      <c r="AE21" s="9">
        <v>418.0</v>
      </c>
    </row>
    <row r="22" ht="15.75" customHeight="1">
      <c r="A22" s="4">
        <v>9.0</v>
      </c>
      <c r="B22" s="22">
        <v>0.002069</v>
      </c>
      <c r="C22" s="4">
        <v>21.0</v>
      </c>
      <c r="D22" s="4">
        <v>1362.0</v>
      </c>
      <c r="E22" s="4">
        <v>1427.0</v>
      </c>
      <c r="F22" s="4">
        <v>1253.0</v>
      </c>
      <c r="G22" s="4">
        <v>628.0</v>
      </c>
      <c r="H22" s="4">
        <v>379.0</v>
      </c>
      <c r="I22" s="4">
        <v>409.0</v>
      </c>
      <c r="J22" s="4">
        <v>53.0</v>
      </c>
      <c r="K22" s="4">
        <v>1200.0</v>
      </c>
      <c r="L22" s="4">
        <v>19.0</v>
      </c>
      <c r="M22" s="4">
        <v>609.0</v>
      </c>
      <c r="N22" s="4">
        <v>0.0</v>
      </c>
      <c r="O22" s="4">
        <v>379.0</v>
      </c>
      <c r="Q22" s="4">
        <v>9.0</v>
      </c>
      <c r="R22" s="22">
        <v>0.001459</v>
      </c>
      <c r="S22" s="4">
        <v>13.0</v>
      </c>
      <c r="T22" s="4">
        <v>1362.0</v>
      </c>
      <c r="U22" s="4">
        <v>1427.0</v>
      </c>
      <c r="V22" s="4">
        <v>1253.0</v>
      </c>
      <c r="W22" s="4">
        <v>628.0</v>
      </c>
      <c r="X22" s="4">
        <v>379.0</v>
      </c>
      <c r="Y22" s="4">
        <v>409.0</v>
      </c>
      <c r="Z22" s="4">
        <v>53.0</v>
      </c>
      <c r="AA22" s="4">
        <v>1200.0</v>
      </c>
      <c r="AB22" s="4">
        <v>19.0</v>
      </c>
      <c r="AC22" s="4">
        <v>609.0</v>
      </c>
      <c r="AD22" s="4">
        <v>0.0</v>
      </c>
      <c r="AE22" s="4">
        <v>379.0</v>
      </c>
    </row>
    <row r="23" ht="15.75" customHeight="1">
      <c r="A23" s="9">
        <v>10.0</v>
      </c>
      <c r="B23" s="23">
        <v>0.001347</v>
      </c>
      <c r="C23" s="9">
        <v>21.0</v>
      </c>
      <c r="D23" s="9">
        <v>1372.0</v>
      </c>
      <c r="E23" s="9">
        <v>1432.0</v>
      </c>
      <c r="F23" s="9">
        <v>1245.0</v>
      </c>
      <c r="G23" s="9">
        <v>635.0</v>
      </c>
      <c r="H23" s="9">
        <v>421.0</v>
      </c>
      <c r="I23" s="9">
        <v>363.0</v>
      </c>
      <c r="J23" s="9">
        <v>59.0</v>
      </c>
      <c r="K23" s="9">
        <v>1186.0</v>
      </c>
      <c r="L23" s="9">
        <v>20.0</v>
      </c>
      <c r="M23" s="9">
        <v>615.0</v>
      </c>
      <c r="N23" s="9">
        <v>0.0</v>
      </c>
      <c r="O23" s="9">
        <v>421.0</v>
      </c>
      <c r="Q23" s="9">
        <v>10.0</v>
      </c>
      <c r="R23" s="23">
        <v>0.001092</v>
      </c>
      <c r="S23" s="9">
        <v>13.0</v>
      </c>
      <c r="T23" s="9">
        <v>1372.0</v>
      </c>
      <c r="U23" s="9">
        <v>1432.0</v>
      </c>
      <c r="V23" s="9">
        <v>1245.0</v>
      </c>
      <c r="W23" s="9">
        <v>635.0</v>
      </c>
      <c r="X23" s="9">
        <v>421.0</v>
      </c>
      <c r="Y23" s="9">
        <v>363.0</v>
      </c>
      <c r="Z23" s="9">
        <v>59.0</v>
      </c>
      <c r="AA23" s="9">
        <v>1186.0</v>
      </c>
      <c r="AB23" s="9">
        <v>20.0</v>
      </c>
      <c r="AC23" s="9">
        <v>615.0</v>
      </c>
      <c r="AD23" s="9">
        <v>0.0</v>
      </c>
      <c r="AE23" s="9">
        <v>421.0</v>
      </c>
    </row>
    <row r="24" ht="15.75" customHeight="1">
      <c r="A24" s="4">
        <v>11.0</v>
      </c>
      <c r="B24" s="22">
        <v>0.001148</v>
      </c>
      <c r="C24" s="4">
        <v>20.0</v>
      </c>
      <c r="D24" s="4">
        <v>1409.0</v>
      </c>
      <c r="E24" s="4">
        <v>1487.0</v>
      </c>
      <c r="F24" s="4">
        <v>1200.0</v>
      </c>
      <c r="G24" s="4">
        <v>593.0</v>
      </c>
      <c r="H24" s="4">
        <v>401.0</v>
      </c>
      <c r="I24" s="4">
        <v>415.0</v>
      </c>
      <c r="J24" s="4">
        <v>62.0</v>
      </c>
      <c r="K24" s="4">
        <v>1138.0</v>
      </c>
      <c r="L24" s="4">
        <v>21.0</v>
      </c>
      <c r="M24" s="4">
        <v>572.0</v>
      </c>
      <c r="N24" s="4">
        <v>0.0</v>
      </c>
      <c r="O24" s="4">
        <v>401.0</v>
      </c>
      <c r="Q24" s="4">
        <v>11.0</v>
      </c>
      <c r="R24" s="22">
        <v>0.001124</v>
      </c>
      <c r="S24" s="4">
        <v>14.0</v>
      </c>
      <c r="T24" s="4">
        <v>1409.0</v>
      </c>
      <c r="U24" s="4">
        <v>1487.0</v>
      </c>
      <c r="V24" s="4">
        <v>1200.0</v>
      </c>
      <c r="W24" s="4">
        <v>593.0</v>
      </c>
      <c r="X24" s="4">
        <v>401.0</v>
      </c>
      <c r="Y24" s="4">
        <v>415.0</v>
      </c>
      <c r="Z24" s="4">
        <v>62.0</v>
      </c>
      <c r="AA24" s="4">
        <v>1138.0</v>
      </c>
      <c r="AB24" s="4">
        <v>21.0</v>
      </c>
      <c r="AC24" s="4">
        <v>572.0</v>
      </c>
      <c r="AD24" s="4">
        <v>0.0</v>
      </c>
      <c r="AE24" s="4">
        <v>401.0</v>
      </c>
    </row>
    <row r="25" ht="15.75" customHeight="1">
      <c r="A25" s="9">
        <v>12.0</v>
      </c>
      <c r="B25" s="23">
        <v>0.001064</v>
      </c>
      <c r="C25" s="9">
        <v>22.0</v>
      </c>
      <c r="D25" s="9">
        <v>1385.0</v>
      </c>
      <c r="E25" s="9">
        <v>1473.0</v>
      </c>
      <c r="F25" s="9">
        <v>1221.0</v>
      </c>
      <c r="G25" s="9">
        <v>637.0</v>
      </c>
      <c r="H25" s="9">
        <v>398.0</v>
      </c>
      <c r="I25" s="9">
        <v>367.0</v>
      </c>
      <c r="J25" s="9">
        <v>58.0</v>
      </c>
      <c r="K25" s="9">
        <v>1163.0</v>
      </c>
      <c r="L25" s="9">
        <v>30.0</v>
      </c>
      <c r="M25" s="9">
        <v>607.0</v>
      </c>
      <c r="N25" s="9">
        <v>0.0</v>
      </c>
      <c r="O25" s="9">
        <v>398.0</v>
      </c>
      <c r="Q25" s="9">
        <v>12.0</v>
      </c>
      <c r="R25" s="23">
        <v>0.001093</v>
      </c>
      <c r="S25" s="9">
        <v>12.0</v>
      </c>
      <c r="T25" s="9">
        <v>1385.0</v>
      </c>
      <c r="U25" s="9">
        <v>1473.0</v>
      </c>
      <c r="V25" s="9">
        <v>1221.0</v>
      </c>
      <c r="W25" s="9">
        <v>637.0</v>
      </c>
      <c r="X25" s="9">
        <v>398.0</v>
      </c>
      <c r="Y25" s="9">
        <v>367.0</v>
      </c>
      <c r="Z25" s="9">
        <v>58.0</v>
      </c>
      <c r="AA25" s="9">
        <v>1163.0</v>
      </c>
      <c r="AB25" s="9">
        <v>30.0</v>
      </c>
      <c r="AC25" s="9">
        <v>607.0</v>
      </c>
      <c r="AD25" s="9">
        <v>0.0</v>
      </c>
      <c r="AE25" s="9">
        <v>398.0</v>
      </c>
    </row>
    <row r="26" ht="15.75" customHeight="1">
      <c r="A26" s="4">
        <v>13.0</v>
      </c>
      <c r="B26" s="22">
        <v>0.001102</v>
      </c>
      <c r="C26" s="4">
        <v>25.0</v>
      </c>
      <c r="D26" s="4">
        <v>1383.0</v>
      </c>
      <c r="E26" s="4">
        <v>1464.0</v>
      </c>
      <c r="F26" s="4">
        <v>1272.0</v>
      </c>
      <c r="G26" s="4">
        <v>586.0</v>
      </c>
      <c r="H26" s="4">
        <v>370.0</v>
      </c>
      <c r="I26" s="4">
        <v>404.0</v>
      </c>
      <c r="J26" s="4">
        <v>40.0</v>
      </c>
      <c r="K26" s="4">
        <v>1232.0</v>
      </c>
      <c r="L26" s="4">
        <v>24.0</v>
      </c>
      <c r="M26" s="4">
        <v>562.0</v>
      </c>
      <c r="N26" s="4">
        <v>0.0</v>
      </c>
      <c r="O26" s="4">
        <v>370.0</v>
      </c>
      <c r="Q26" s="4">
        <v>13.0</v>
      </c>
      <c r="R26" s="22">
        <v>0.001026</v>
      </c>
      <c r="S26" s="4">
        <v>14.0</v>
      </c>
      <c r="T26" s="4">
        <v>1383.0</v>
      </c>
      <c r="U26" s="4">
        <v>1464.0</v>
      </c>
      <c r="V26" s="4">
        <v>1272.0</v>
      </c>
      <c r="W26" s="4">
        <v>586.0</v>
      </c>
      <c r="X26" s="4">
        <v>370.0</v>
      </c>
      <c r="Y26" s="4">
        <v>404.0</v>
      </c>
      <c r="Z26" s="4">
        <v>40.0</v>
      </c>
      <c r="AA26" s="4">
        <v>1232.0</v>
      </c>
      <c r="AB26" s="4">
        <v>24.0</v>
      </c>
      <c r="AC26" s="4">
        <v>562.0</v>
      </c>
      <c r="AD26" s="4">
        <v>0.0</v>
      </c>
      <c r="AE26" s="4">
        <v>370.0</v>
      </c>
    </row>
    <row r="27" ht="15.75" customHeight="1">
      <c r="A27" s="9">
        <v>14.0</v>
      </c>
      <c r="B27" s="23">
        <v>0.001066</v>
      </c>
      <c r="C27" s="9">
        <v>20.0</v>
      </c>
      <c r="D27" s="9">
        <v>1328.0</v>
      </c>
      <c r="E27" s="9">
        <v>1411.0</v>
      </c>
      <c r="F27" s="9">
        <v>1268.0</v>
      </c>
      <c r="G27" s="9">
        <v>576.0</v>
      </c>
      <c r="H27" s="9">
        <v>397.0</v>
      </c>
      <c r="I27" s="9">
        <v>444.0</v>
      </c>
      <c r="J27" s="9">
        <v>50.0</v>
      </c>
      <c r="K27" s="9">
        <v>1218.0</v>
      </c>
      <c r="L27" s="9">
        <v>16.0</v>
      </c>
      <c r="M27" s="9">
        <v>560.0</v>
      </c>
      <c r="N27" s="9">
        <v>0.0</v>
      </c>
      <c r="O27" s="9">
        <v>397.0</v>
      </c>
      <c r="Q27" s="9">
        <v>14.0</v>
      </c>
      <c r="R27" s="23">
        <v>0.001068</v>
      </c>
      <c r="S27" s="9">
        <v>13.0</v>
      </c>
      <c r="T27" s="9">
        <v>1328.0</v>
      </c>
      <c r="U27" s="9">
        <v>1411.0</v>
      </c>
      <c r="V27" s="9">
        <v>1268.0</v>
      </c>
      <c r="W27" s="9">
        <v>576.0</v>
      </c>
      <c r="X27" s="9">
        <v>397.0</v>
      </c>
      <c r="Y27" s="9">
        <v>444.0</v>
      </c>
      <c r="Z27" s="9">
        <v>50.0</v>
      </c>
      <c r="AA27" s="9">
        <v>1218.0</v>
      </c>
      <c r="AB27" s="9">
        <v>16.0</v>
      </c>
      <c r="AC27" s="9">
        <v>560.0</v>
      </c>
      <c r="AD27" s="9">
        <v>0.0</v>
      </c>
      <c r="AE27" s="9">
        <v>397.0</v>
      </c>
    </row>
    <row r="28" ht="15.75" customHeight="1">
      <c r="A28" s="4">
        <v>15.0</v>
      </c>
      <c r="B28" s="22">
        <v>0.00104</v>
      </c>
      <c r="C28" s="4">
        <v>22.0</v>
      </c>
      <c r="D28" s="4">
        <v>1309.0</v>
      </c>
      <c r="E28" s="4">
        <v>1387.0</v>
      </c>
      <c r="F28" s="4">
        <v>1306.0</v>
      </c>
      <c r="G28" s="4">
        <v>620.0</v>
      </c>
      <c r="H28" s="4">
        <v>403.0</v>
      </c>
      <c r="I28" s="4">
        <v>380.0</v>
      </c>
      <c r="J28" s="4">
        <v>44.0</v>
      </c>
      <c r="K28" s="4">
        <v>1262.0</v>
      </c>
      <c r="L28" s="4">
        <v>24.0</v>
      </c>
      <c r="M28" s="4">
        <v>596.0</v>
      </c>
      <c r="N28" s="4">
        <v>0.0</v>
      </c>
      <c r="O28" s="4">
        <v>403.0</v>
      </c>
      <c r="Q28" s="4">
        <v>15.0</v>
      </c>
      <c r="R28" s="22">
        <v>0.001089</v>
      </c>
      <c r="S28" s="4">
        <v>13.0</v>
      </c>
      <c r="T28" s="4">
        <v>1309.0</v>
      </c>
      <c r="U28" s="4">
        <v>1387.0</v>
      </c>
      <c r="V28" s="4">
        <v>1306.0</v>
      </c>
      <c r="W28" s="4">
        <v>620.0</v>
      </c>
      <c r="X28" s="4">
        <v>403.0</v>
      </c>
      <c r="Y28" s="4">
        <v>380.0</v>
      </c>
      <c r="Z28" s="4">
        <v>44.0</v>
      </c>
      <c r="AA28" s="4">
        <v>1262.0</v>
      </c>
      <c r="AB28" s="4">
        <v>24.0</v>
      </c>
      <c r="AC28" s="4">
        <v>596.0</v>
      </c>
      <c r="AD28" s="4">
        <v>0.0</v>
      </c>
      <c r="AE28" s="4">
        <v>403.0</v>
      </c>
    </row>
    <row r="29" ht="15.75" customHeight="1">
      <c r="A29" s="9">
        <v>16.0</v>
      </c>
      <c r="B29" s="23">
        <v>0.001076</v>
      </c>
      <c r="C29" s="9">
        <v>21.0</v>
      </c>
      <c r="D29" s="9">
        <v>1339.0</v>
      </c>
      <c r="E29" s="9">
        <v>1417.0</v>
      </c>
      <c r="F29" s="9">
        <v>1231.0</v>
      </c>
      <c r="G29" s="9">
        <v>601.0</v>
      </c>
      <c r="H29" s="9">
        <v>406.0</v>
      </c>
      <c r="I29" s="9">
        <v>441.0</v>
      </c>
      <c r="J29" s="9">
        <v>40.0</v>
      </c>
      <c r="K29" s="9">
        <v>1191.0</v>
      </c>
      <c r="L29" s="9">
        <v>20.0</v>
      </c>
      <c r="M29" s="9">
        <v>581.0</v>
      </c>
      <c r="N29" s="9">
        <v>0.0</v>
      </c>
      <c r="O29" s="9">
        <v>406.0</v>
      </c>
      <c r="Q29" s="9">
        <v>16.0</v>
      </c>
      <c r="R29" s="23">
        <v>0.001074</v>
      </c>
      <c r="S29" s="9">
        <v>13.0</v>
      </c>
      <c r="T29" s="9">
        <v>1339.0</v>
      </c>
      <c r="U29" s="9">
        <v>1417.0</v>
      </c>
      <c r="V29" s="9">
        <v>1231.0</v>
      </c>
      <c r="W29" s="9">
        <v>601.0</v>
      </c>
      <c r="X29" s="9">
        <v>406.0</v>
      </c>
      <c r="Y29" s="9">
        <v>441.0</v>
      </c>
      <c r="Z29" s="9">
        <v>40.0</v>
      </c>
      <c r="AA29" s="9">
        <v>1191.0</v>
      </c>
      <c r="AB29" s="9">
        <v>20.0</v>
      </c>
      <c r="AC29" s="9">
        <v>581.0</v>
      </c>
      <c r="AD29" s="9">
        <v>0.0</v>
      </c>
      <c r="AE29" s="9">
        <v>406.0</v>
      </c>
    </row>
    <row r="30" ht="15.75" customHeight="1">
      <c r="A30" s="4">
        <v>17.0</v>
      </c>
      <c r="B30" s="22">
        <v>0.001001</v>
      </c>
      <c r="C30" s="4">
        <v>24.0</v>
      </c>
      <c r="D30" s="4">
        <v>1323.0</v>
      </c>
      <c r="E30" s="4">
        <v>1400.0</v>
      </c>
      <c r="F30" s="4">
        <v>1216.0</v>
      </c>
      <c r="G30" s="4">
        <v>616.0</v>
      </c>
      <c r="H30" s="4">
        <v>450.0</v>
      </c>
      <c r="I30" s="4">
        <v>414.0</v>
      </c>
      <c r="J30" s="4">
        <v>43.0</v>
      </c>
      <c r="K30" s="4">
        <v>1173.0</v>
      </c>
      <c r="L30" s="4">
        <v>29.0</v>
      </c>
      <c r="M30" s="4">
        <v>587.0</v>
      </c>
      <c r="N30" s="4">
        <v>0.0</v>
      </c>
      <c r="O30" s="4">
        <v>450.0</v>
      </c>
      <c r="Q30" s="4">
        <v>17.0</v>
      </c>
      <c r="R30" s="22">
        <v>0.001074</v>
      </c>
      <c r="S30" s="4">
        <v>13.0</v>
      </c>
      <c r="T30" s="4">
        <v>1323.0</v>
      </c>
      <c r="U30" s="4">
        <v>1400.0</v>
      </c>
      <c r="V30" s="4">
        <v>1216.0</v>
      </c>
      <c r="W30" s="4">
        <v>616.0</v>
      </c>
      <c r="X30" s="4">
        <v>450.0</v>
      </c>
      <c r="Y30" s="4">
        <v>414.0</v>
      </c>
      <c r="Z30" s="4">
        <v>43.0</v>
      </c>
      <c r="AA30" s="4">
        <v>1173.0</v>
      </c>
      <c r="AB30" s="4">
        <v>29.0</v>
      </c>
      <c r="AC30" s="4">
        <v>587.0</v>
      </c>
      <c r="AD30" s="4">
        <v>0.0</v>
      </c>
      <c r="AE30" s="4">
        <v>450.0</v>
      </c>
    </row>
    <row r="31" ht="15.75" customHeight="1">
      <c r="A31" s="9">
        <v>18.0</v>
      </c>
      <c r="B31" s="23">
        <v>9.93E-4</v>
      </c>
      <c r="C31" s="9">
        <v>19.0</v>
      </c>
      <c r="D31" s="9">
        <v>1353.0</v>
      </c>
      <c r="E31" s="9">
        <v>1439.0</v>
      </c>
      <c r="F31" s="9">
        <v>1236.0</v>
      </c>
      <c r="G31" s="9">
        <v>611.0</v>
      </c>
      <c r="H31" s="9">
        <v>406.0</v>
      </c>
      <c r="I31" s="9">
        <v>404.0</v>
      </c>
      <c r="J31" s="9">
        <v>65.0</v>
      </c>
      <c r="K31" s="9">
        <v>1171.0</v>
      </c>
      <c r="L31" s="9">
        <v>23.0</v>
      </c>
      <c r="M31" s="9">
        <v>588.0</v>
      </c>
      <c r="N31" s="9">
        <v>0.0</v>
      </c>
      <c r="O31" s="9">
        <v>406.0</v>
      </c>
      <c r="Q31" s="9">
        <v>18.0</v>
      </c>
      <c r="R31" s="23">
        <v>0.00116</v>
      </c>
      <c r="S31" s="9">
        <v>12.0</v>
      </c>
      <c r="T31" s="9">
        <v>1353.0</v>
      </c>
      <c r="U31" s="9">
        <v>1439.0</v>
      </c>
      <c r="V31" s="9">
        <v>1236.0</v>
      </c>
      <c r="W31" s="9">
        <v>611.0</v>
      </c>
      <c r="X31" s="9">
        <v>406.0</v>
      </c>
      <c r="Y31" s="9">
        <v>404.0</v>
      </c>
      <c r="Z31" s="9">
        <v>65.0</v>
      </c>
      <c r="AA31" s="9">
        <v>1171.0</v>
      </c>
      <c r="AB31" s="9">
        <v>23.0</v>
      </c>
      <c r="AC31" s="9">
        <v>588.0</v>
      </c>
      <c r="AD31" s="9">
        <v>0.0</v>
      </c>
      <c r="AE31" s="9">
        <v>406.0</v>
      </c>
    </row>
    <row r="32" ht="15.75" customHeight="1">
      <c r="A32" s="4">
        <v>19.0</v>
      </c>
      <c r="B32" s="22">
        <v>9.58E-4</v>
      </c>
      <c r="C32" s="4">
        <v>24.0</v>
      </c>
      <c r="D32" s="4">
        <v>1333.0</v>
      </c>
      <c r="E32" s="4">
        <v>1405.0</v>
      </c>
      <c r="F32" s="4">
        <v>1229.0</v>
      </c>
      <c r="G32" s="4">
        <v>622.0</v>
      </c>
      <c r="H32" s="4">
        <v>393.0</v>
      </c>
      <c r="I32" s="4">
        <v>447.0</v>
      </c>
      <c r="J32" s="4">
        <v>59.0</v>
      </c>
      <c r="K32" s="4">
        <v>1170.0</v>
      </c>
      <c r="L32" s="4">
        <v>21.0</v>
      </c>
      <c r="M32" s="4">
        <v>601.0</v>
      </c>
      <c r="N32" s="4">
        <v>0.0</v>
      </c>
      <c r="O32" s="4">
        <v>393.0</v>
      </c>
      <c r="Q32" s="4">
        <v>19.0</v>
      </c>
      <c r="R32" s="22">
        <v>0.001146</v>
      </c>
      <c r="S32" s="4">
        <v>12.0</v>
      </c>
      <c r="T32" s="4">
        <v>1333.0</v>
      </c>
      <c r="U32" s="4">
        <v>1405.0</v>
      </c>
      <c r="V32" s="4">
        <v>1229.0</v>
      </c>
      <c r="W32" s="4">
        <v>622.0</v>
      </c>
      <c r="X32" s="4">
        <v>393.0</v>
      </c>
      <c r="Y32" s="4">
        <v>447.0</v>
      </c>
      <c r="Z32" s="4">
        <v>59.0</v>
      </c>
      <c r="AA32" s="4">
        <v>1170.0</v>
      </c>
      <c r="AB32" s="4">
        <v>21.0</v>
      </c>
      <c r="AC32" s="4">
        <v>601.0</v>
      </c>
      <c r="AD32" s="4">
        <v>0.0</v>
      </c>
      <c r="AE32" s="4">
        <v>393.0</v>
      </c>
    </row>
    <row r="33" ht="15.75" customHeight="1">
      <c r="A33" s="9">
        <v>20.0</v>
      </c>
      <c r="B33" s="23">
        <v>0.00102</v>
      </c>
      <c r="C33" s="9">
        <v>19.0</v>
      </c>
      <c r="D33" s="9">
        <v>1317.0</v>
      </c>
      <c r="E33" s="9">
        <v>1398.0</v>
      </c>
      <c r="F33" s="9">
        <v>1224.0</v>
      </c>
      <c r="G33" s="9">
        <v>631.0</v>
      </c>
      <c r="H33" s="9">
        <v>428.0</v>
      </c>
      <c r="I33" s="9">
        <v>415.0</v>
      </c>
      <c r="J33" s="9">
        <v>52.0</v>
      </c>
      <c r="K33" s="9">
        <v>1172.0</v>
      </c>
      <c r="L33" s="9">
        <v>25.0</v>
      </c>
      <c r="M33" s="9">
        <v>606.0</v>
      </c>
      <c r="N33" s="9">
        <v>0.0</v>
      </c>
      <c r="O33" s="9">
        <v>428.0</v>
      </c>
      <c r="Q33" s="9">
        <v>20.0</v>
      </c>
      <c r="R33" s="23">
        <v>0.001112</v>
      </c>
      <c r="S33" s="9">
        <v>13.0</v>
      </c>
      <c r="T33" s="9">
        <v>1317.0</v>
      </c>
      <c r="U33" s="9">
        <v>1398.0</v>
      </c>
      <c r="V33" s="9">
        <v>1224.0</v>
      </c>
      <c r="W33" s="9">
        <v>631.0</v>
      </c>
      <c r="X33" s="9">
        <v>428.0</v>
      </c>
      <c r="Y33" s="9">
        <v>415.0</v>
      </c>
      <c r="Z33" s="9">
        <v>52.0</v>
      </c>
      <c r="AA33" s="9">
        <v>1172.0</v>
      </c>
      <c r="AB33" s="9">
        <v>25.0</v>
      </c>
      <c r="AC33" s="9">
        <v>606.0</v>
      </c>
      <c r="AD33" s="9">
        <v>0.0</v>
      </c>
      <c r="AE33" s="9">
        <v>428.0</v>
      </c>
    </row>
    <row r="34" ht="15.75" customHeight="1">
      <c r="A34" s="4">
        <v>21.0</v>
      </c>
      <c r="B34" s="22">
        <v>0.001021</v>
      </c>
      <c r="C34" s="4">
        <v>24.0</v>
      </c>
      <c r="D34" s="4">
        <v>1326.0</v>
      </c>
      <c r="E34" s="4">
        <v>1409.0</v>
      </c>
      <c r="F34" s="4">
        <v>1261.0</v>
      </c>
      <c r="G34" s="4">
        <v>618.0</v>
      </c>
      <c r="H34" s="4">
        <v>381.0</v>
      </c>
      <c r="I34" s="4">
        <v>427.0</v>
      </c>
      <c r="J34" s="4">
        <v>54.0</v>
      </c>
      <c r="K34" s="4">
        <v>1207.0</v>
      </c>
      <c r="L34" s="4">
        <v>22.0</v>
      </c>
      <c r="M34" s="4">
        <v>596.0</v>
      </c>
      <c r="N34" s="4">
        <v>0.0</v>
      </c>
      <c r="O34" s="4">
        <v>381.0</v>
      </c>
      <c r="Q34" s="4">
        <v>21.0</v>
      </c>
      <c r="R34" s="22">
        <v>9.36E-4</v>
      </c>
      <c r="S34" s="4">
        <v>13.0</v>
      </c>
      <c r="T34" s="4">
        <v>1326.0</v>
      </c>
      <c r="U34" s="4">
        <v>1409.0</v>
      </c>
      <c r="V34" s="4">
        <v>1261.0</v>
      </c>
      <c r="W34" s="4">
        <v>618.0</v>
      </c>
      <c r="X34" s="4">
        <v>381.0</v>
      </c>
      <c r="Y34" s="4">
        <v>427.0</v>
      </c>
      <c r="Z34" s="4">
        <v>54.0</v>
      </c>
      <c r="AA34" s="4">
        <v>1207.0</v>
      </c>
      <c r="AB34" s="4">
        <v>22.0</v>
      </c>
      <c r="AC34" s="4">
        <v>596.0</v>
      </c>
      <c r="AD34" s="4">
        <v>0.0</v>
      </c>
      <c r="AE34" s="4">
        <v>381.0</v>
      </c>
    </row>
    <row r="35" ht="15.75" customHeight="1">
      <c r="A35" s="9">
        <v>22.0</v>
      </c>
      <c r="B35" s="23">
        <v>0.00106</v>
      </c>
      <c r="C35" s="9">
        <v>24.0</v>
      </c>
      <c r="D35" s="9">
        <v>1342.0</v>
      </c>
      <c r="E35" s="9">
        <v>1424.0</v>
      </c>
      <c r="F35" s="9">
        <v>1255.0</v>
      </c>
      <c r="G35" s="9">
        <v>607.0</v>
      </c>
      <c r="H35" s="9">
        <v>402.0</v>
      </c>
      <c r="I35" s="9">
        <v>408.0</v>
      </c>
      <c r="J35" s="9">
        <v>55.0</v>
      </c>
      <c r="K35" s="9">
        <v>1200.0</v>
      </c>
      <c r="L35" s="9">
        <v>17.0</v>
      </c>
      <c r="M35" s="9">
        <v>590.0</v>
      </c>
      <c r="N35" s="9">
        <v>0.0</v>
      </c>
      <c r="O35" s="9">
        <v>402.0</v>
      </c>
      <c r="Q35" s="9">
        <v>22.0</v>
      </c>
      <c r="R35" s="23">
        <v>9.82E-4</v>
      </c>
      <c r="S35" s="9">
        <v>14.0</v>
      </c>
      <c r="T35" s="9">
        <v>1342.0</v>
      </c>
      <c r="U35" s="9">
        <v>1424.0</v>
      </c>
      <c r="V35" s="9">
        <v>1255.0</v>
      </c>
      <c r="W35" s="9">
        <v>607.0</v>
      </c>
      <c r="X35" s="9">
        <v>402.0</v>
      </c>
      <c r="Y35" s="9">
        <v>408.0</v>
      </c>
      <c r="Z35" s="9">
        <v>55.0</v>
      </c>
      <c r="AA35" s="9">
        <v>1200.0</v>
      </c>
      <c r="AB35" s="9">
        <v>17.0</v>
      </c>
      <c r="AC35" s="9">
        <v>590.0</v>
      </c>
      <c r="AD35" s="9">
        <v>0.0</v>
      </c>
      <c r="AE35" s="9">
        <v>402.0</v>
      </c>
    </row>
    <row r="36" ht="15.75" customHeight="1">
      <c r="A36" s="4">
        <v>23.0</v>
      </c>
      <c r="B36" s="22">
        <v>9.69E-4</v>
      </c>
      <c r="C36" s="4">
        <v>21.0</v>
      </c>
      <c r="D36" s="4">
        <v>1363.0</v>
      </c>
      <c r="E36" s="4">
        <v>1429.0</v>
      </c>
      <c r="F36" s="4">
        <v>1241.0</v>
      </c>
      <c r="G36" s="4">
        <v>604.0</v>
      </c>
      <c r="H36" s="4">
        <v>374.0</v>
      </c>
      <c r="I36" s="4">
        <v>448.0</v>
      </c>
      <c r="J36" s="4">
        <v>57.0</v>
      </c>
      <c r="K36" s="4">
        <v>1184.0</v>
      </c>
      <c r="L36" s="4">
        <v>27.0</v>
      </c>
      <c r="M36" s="4">
        <v>577.0</v>
      </c>
      <c r="N36" s="4">
        <v>0.0</v>
      </c>
      <c r="O36" s="4">
        <v>374.0</v>
      </c>
      <c r="Q36" s="4">
        <v>23.0</v>
      </c>
      <c r="R36" s="22">
        <v>9.56E-4</v>
      </c>
      <c r="S36" s="4">
        <v>14.0</v>
      </c>
      <c r="T36" s="4">
        <v>1363.0</v>
      </c>
      <c r="U36" s="4">
        <v>1429.0</v>
      </c>
      <c r="V36" s="4">
        <v>1241.0</v>
      </c>
      <c r="W36" s="4">
        <v>604.0</v>
      </c>
      <c r="X36" s="4">
        <v>374.0</v>
      </c>
      <c r="Y36" s="4">
        <v>448.0</v>
      </c>
      <c r="Z36" s="4">
        <v>57.0</v>
      </c>
      <c r="AA36" s="4">
        <v>1184.0</v>
      </c>
      <c r="AB36" s="4">
        <v>27.0</v>
      </c>
      <c r="AC36" s="4">
        <v>577.0</v>
      </c>
      <c r="AD36" s="4">
        <v>0.0</v>
      </c>
      <c r="AE36" s="4">
        <v>374.0</v>
      </c>
    </row>
    <row r="37" ht="15.75" customHeight="1">
      <c r="A37" s="9">
        <v>24.0</v>
      </c>
      <c r="B37" s="23">
        <v>9.63E-4</v>
      </c>
      <c r="C37" s="9">
        <v>24.0</v>
      </c>
      <c r="D37" s="9">
        <v>1359.0</v>
      </c>
      <c r="E37" s="9">
        <v>1433.0</v>
      </c>
      <c r="F37" s="9">
        <v>1224.0</v>
      </c>
      <c r="G37" s="9">
        <v>635.0</v>
      </c>
      <c r="H37" s="9">
        <v>404.0</v>
      </c>
      <c r="I37" s="9">
        <v>400.0</v>
      </c>
      <c r="J37" s="9">
        <v>56.0</v>
      </c>
      <c r="K37" s="9">
        <v>1168.0</v>
      </c>
      <c r="L37" s="9">
        <v>23.0</v>
      </c>
      <c r="M37" s="9">
        <v>612.0</v>
      </c>
      <c r="N37" s="9">
        <v>0.0</v>
      </c>
      <c r="O37" s="9">
        <v>404.0</v>
      </c>
      <c r="Q37" s="9">
        <v>24.0</v>
      </c>
      <c r="R37" s="23">
        <v>9.76E-4</v>
      </c>
      <c r="S37" s="9">
        <v>14.0</v>
      </c>
      <c r="T37" s="9">
        <v>1359.0</v>
      </c>
      <c r="U37" s="9">
        <v>1433.0</v>
      </c>
      <c r="V37" s="9">
        <v>1224.0</v>
      </c>
      <c r="W37" s="9">
        <v>635.0</v>
      </c>
      <c r="X37" s="9">
        <v>404.0</v>
      </c>
      <c r="Y37" s="9">
        <v>400.0</v>
      </c>
      <c r="Z37" s="9">
        <v>56.0</v>
      </c>
      <c r="AA37" s="9">
        <v>1168.0</v>
      </c>
      <c r="AB37" s="9">
        <v>23.0</v>
      </c>
      <c r="AC37" s="9">
        <v>612.0</v>
      </c>
      <c r="AD37" s="9">
        <v>0.0</v>
      </c>
      <c r="AE37" s="9">
        <v>404.0</v>
      </c>
    </row>
    <row r="38" ht="15.75" customHeight="1">
      <c r="A38" s="4">
        <v>25.0</v>
      </c>
      <c r="B38" s="22">
        <v>9.59E-4</v>
      </c>
      <c r="C38" s="4">
        <v>21.0</v>
      </c>
      <c r="D38" s="4">
        <v>1348.0</v>
      </c>
      <c r="E38" s="4">
        <v>1434.0</v>
      </c>
      <c r="F38" s="4">
        <v>1230.0</v>
      </c>
      <c r="G38" s="4">
        <v>598.0</v>
      </c>
      <c r="H38" s="4">
        <v>441.0</v>
      </c>
      <c r="I38" s="4">
        <v>393.0</v>
      </c>
      <c r="J38" s="4">
        <v>60.0</v>
      </c>
      <c r="K38" s="4">
        <v>1170.0</v>
      </c>
      <c r="L38" s="4">
        <v>21.0</v>
      </c>
      <c r="M38" s="4">
        <v>577.0</v>
      </c>
      <c r="N38" s="4">
        <v>0.0</v>
      </c>
      <c r="O38" s="4">
        <v>441.0</v>
      </c>
      <c r="Q38" s="4">
        <v>25.0</v>
      </c>
      <c r="R38" s="22">
        <v>9.76E-4</v>
      </c>
      <c r="S38" s="4">
        <v>13.0</v>
      </c>
      <c r="T38" s="4">
        <v>1348.0</v>
      </c>
      <c r="U38" s="4">
        <v>1434.0</v>
      </c>
      <c r="V38" s="4">
        <v>1230.0</v>
      </c>
      <c r="W38" s="4">
        <v>598.0</v>
      </c>
      <c r="X38" s="4">
        <v>441.0</v>
      </c>
      <c r="Y38" s="4">
        <v>393.0</v>
      </c>
      <c r="Z38" s="4">
        <v>60.0</v>
      </c>
      <c r="AA38" s="4">
        <v>1170.0</v>
      </c>
      <c r="AB38" s="4">
        <v>21.0</v>
      </c>
      <c r="AC38" s="4">
        <v>577.0</v>
      </c>
      <c r="AD38" s="4">
        <v>0.0</v>
      </c>
      <c r="AE38" s="4">
        <v>441.0</v>
      </c>
    </row>
    <row r="39" ht="15.75" customHeight="1">
      <c r="A39" s="9">
        <v>26.0</v>
      </c>
      <c r="B39" s="23">
        <v>0.001024</v>
      </c>
      <c r="C39" s="9">
        <v>21.0</v>
      </c>
      <c r="D39" s="9">
        <v>1390.0</v>
      </c>
      <c r="E39" s="9">
        <v>1453.0</v>
      </c>
      <c r="F39" s="9">
        <v>1268.0</v>
      </c>
      <c r="G39" s="9">
        <v>597.0</v>
      </c>
      <c r="H39" s="9">
        <v>384.0</v>
      </c>
      <c r="I39" s="9">
        <v>394.0</v>
      </c>
      <c r="J39" s="9">
        <v>64.0</v>
      </c>
      <c r="K39" s="9">
        <v>1204.0</v>
      </c>
      <c r="L39" s="9">
        <v>27.0</v>
      </c>
      <c r="M39" s="9">
        <v>570.0</v>
      </c>
      <c r="N39" s="9">
        <v>0.0</v>
      </c>
      <c r="O39" s="9">
        <v>384.0</v>
      </c>
      <c r="Q39" s="9">
        <v>26.0</v>
      </c>
      <c r="R39" s="23">
        <v>9.78E-4</v>
      </c>
      <c r="S39" s="9">
        <v>14.0</v>
      </c>
      <c r="T39" s="9">
        <v>1390.0</v>
      </c>
      <c r="U39" s="9">
        <v>1453.0</v>
      </c>
      <c r="V39" s="9">
        <v>1268.0</v>
      </c>
      <c r="W39" s="9">
        <v>597.0</v>
      </c>
      <c r="X39" s="9">
        <v>384.0</v>
      </c>
      <c r="Y39" s="9">
        <v>394.0</v>
      </c>
      <c r="Z39" s="9">
        <v>64.0</v>
      </c>
      <c r="AA39" s="9">
        <v>1204.0</v>
      </c>
      <c r="AB39" s="9">
        <v>27.0</v>
      </c>
      <c r="AC39" s="9">
        <v>570.0</v>
      </c>
      <c r="AD39" s="9">
        <v>0.0</v>
      </c>
      <c r="AE39" s="9">
        <v>384.0</v>
      </c>
    </row>
    <row r="40" ht="15.75" customHeight="1">
      <c r="A40" s="4">
        <v>27.0</v>
      </c>
      <c r="B40" s="22">
        <v>0.001312</v>
      </c>
      <c r="C40" s="4">
        <v>22.0</v>
      </c>
      <c r="D40" s="4">
        <v>1359.0</v>
      </c>
      <c r="E40" s="4">
        <v>1423.0</v>
      </c>
      <c r="F40" s="4">
        <v>1253.0</v>
      </c>
      <c r="G40" s="4">
        <v>627.0</v>
      </c>
      <c r="H40" s="4">
        <v>375.0</v>
      </c>
      <c r="I40" s="4">
        <v>418.0</v>
      </c>
      <c r="J40" s="4">
        <v>51.0</v>
      </c>
      <c r="K40" s="4">
        <v>1202.0</v>
      </c>
      <c r="L40" s="4">
        <v>26.0</v>
      </c>
      <c r="M40" s="4">
        <v>601.0</v>
      </c>
      <c r="N40" s="4">
        <v>0.0</v>
      </c>
      <c r="O40" s="4">
        <v>375.0</v>
      </c>
      <c r="Q40" s="4">
        <v>27.0</v>
      </c>
      <c r="R40" s="22">
        <v>0.001002</v>
      </c>
      <c r="S40" s="4">
        <v>13.0</v>
      </c>
      <c r="T40" s="4">
        <v>1359.0</v>
      </c>
      <c r="U40" s="4">
        <v>1423.0</v>
      </c>
      <c r="V40" s="4">
        <v>1253.0</v>
      </c>
      <c r="W40" s="4">
        <v>627.0</v>
      </c>
      <c r="X40" s="4">
        <v>375.0</v>
      </c>
      <c r="Y40" s="4">
        <v>418.0</v>
      </c>
      <c r="Z40" s="4">
        <v>51.0</v>
      </c>
      <c r="AA40" s="4">
        <v>1202.0</v>
      </c>
      <c r="AB40" s="4">
        <v>26.0</v>
      </c>
      <c r="AC40" s="4">
        <v>601.0</v>
      </c>
      <c r="AD40" s="4">
        <v>0.0</v>
      </c>
      <c r="AE40" s="4">
        <v>375.0</v>
      </c>
    </row>
    <row r="41" ht="15.75" customHeight="1">
      <c r="A41" s="9">
        <v>28.0</v>
      </c>
      <c r="B41" s="23">
        <v>9.82E-4</v>
      </c>
      <c r="C41" s="9">
        <v>20.0</v>
      </c>
      <c r="D41" s="9">
        <v>1330.0</v>
      </c>
      <c r="E41" s="9">
        <v>1394.0</v>
      </c>
      <c r="F41" s="9">
        <v>1221.0</v>
      </c>
      <c r="G41" s="9">
        <v>639.0</v>
      </c>
      <c r="H41" s="9">
        <v>413.0</v>
      </c>
      <c r="I41" s="9">
        <v>429.0</v>
      </c>
      <c r="J41" s="9">
        <v>50.0</v>
      </c>
      <c r="K41" s="9">
        <v>1171.0</v>
      </c>
      <c r="L41" s="9">
        <v>23.0</v>
      </c>
      <c r="M41" s="9">
        <v>616.0</v>
      </c>
      <c r="N41" s="9">
        <v>0.0</v>
      </c>
      <c r="O41" s="9">
        <v>413.0</v>
      </c>
      <c r="Q41" s="9">
        <v>28.0</v>
      </c>
      <c r="R41" s="23">
        <v>9.72E-4</v>
      </c>
      <c r="S41" s="9">
        <v>12.0</v>
      </c>
      <c r="T41" s="9">
        <v>1330.0</v>
      </c>
      <c r="U41" s="9">
        <v>1394.0</v>
      </c>
      <c r="V41" s="9">
        <v>1221.0</v>
      </c>
      <c r="W41" s="9">
        <v>639.0</v>
      </c>
      <c r="X41" s="9">
        <v>413.0</v>
      </c>
      <c r="Y41" s="9">
        <v>429.0</v>
      </c>
      <c r="Z41" s="9">
        <v>50.0</v>
      </c>
      <c r="AA41" s="9">
        <v>1171.0</v>
      </c>
      <c r="AB41" s="9">
        <v>23.0</v>
      </c>
      <c r="AC41" s="9">
        <v>616.0</v>
      </c>
      <c r="AD41" s="9">
        <v>0.0</v>
      </c>
      <c r="AE41" s="9">
        <v>413.0</v>
      </c>
    </row>
    <row r="42" ht="15.75" customHeight="1">
      <c r="A42" s="4">
        <v>29.0</v>
      </c>
      <c r="B42" s="22">
        <v>9.94E-4</v>
      </c>
      <c r="C42" s="4">
        <v>21.0</v>
      </c>
      <c r="D42" s="4">
        <v>1344.0</v>
      </c>
      <c r="E42" s="4">
        <v>1430.0</v>
      </c>
      <c r="F42" s="4">
        <v>1212.0</v>
      </c>
      <c r="G42" s="4">
        <v>634.0</v>
      </c>
      <c r="H42" s="4">
        <v>404.0</v>
      </c>
      <c r="I42" s="4">
        <v>416.0</v>
      </c>
      <c r="J42" s="4">
        <v>48.0</v>
      </c>
      <c r="K42" s="4">
        <v>1164.0</v>
      </c>
      <c r="L42" s="4">
        <v>27.0</v>
      </c>
      <c r="M42" s="4">
        <v>607.0</v>
      </c>
      <c r="N42" s="4">
        <v>1.0</v>
      </c>
      <c r="O42" s="4">
        <v>403.0</v>
      </c>
      <c r="Q42" s="4">
        <v>29.0</v>
      </c>
      <c r="R42" s="22">
        <v>9.7E-4</v>
      </c>
      <c r="S42" s="4">
        <v>15.0</v>
      </c>
      <c r="T42" s="4">
        <v>1344.0</v>
      </c>
      <c r="U42" s="4">
        <v>1430.0</v>
      </c>
      <c r="V42" s="4">
        <v>1212.0</v>
      </c>
      <c r="W42" s="4">
        <v>634.0</v>
      </c>
      <c r="X42" s="4">
        <v>404.0</v>
      </c>
      <c r="Y42" s="4">
        <v>416.0</v>
      </c>
      <c r="Z42" s="4">
        <v>48.0</v>
      </c>
      <c r="AA42" s="4">
        <v>1164.0</v>
      </c>
      <c r="AB42" s="4">
        <v>27.0</v>
      </c>
      <c r="AC42" s="4">
        <v>607.0</v>
      </c>
      <c r="AD42" s="4">
        <v>1.0</v>
      </c>
      <c r="AE42" s="4">
        <v>403.0</v>
      </c>
    </row>
    <row r="43" ht="15.75" customHeight="1">
      <c r="A43" s="9">
        <v>30.0</v>
      </c>
      <c r="B43" s="23">
        <v>9.63E-4</v>
      </c>
      <c r="C43" s="9">
        <v>24.0</v>
      </c>
      <c r="D43" s="9">
        <v>1391.0</v>
      </c>
      <c r="E43" s="9">
        <v>1464.0</v>
      </c>
      <c r="F43" s="9">
        <v>1224.0</v>
      </c>
      <c r="G43" s="9">
        <v>577.0</v>
      </c>
      <c r="H43" s="9">
        <v>420.0</v>
      </c>
      <c r="I43" s="9">
        <v>411.0</v>
      </c>
      <c r="J43" s="9">
        <v>52.0</v>
      </c>
      <c r="K43" s="9">
        <v>1172.0</v>
      </c>
      <c r="L43" s="9">
        <v>27.0</v>
      </c>
      <c r="M43" s="9">
        <v>550.0</v>
      </c>
      <c r="N43" s="9">
        <v>0.0</v>
      </c>
      <c r="O43" s="9">
        <v>420.0</v>
      </c>
      <c r="Q43" s="9">
        <v>30.0</v>
      </c>
      <c r="R43" s="23">
        <v>0.001</v>
      </c>
      <c r="S43" s="9">
        <v>13.0</v>
      </c>
      <c r="T43" s="9">
        <v>1391.0</v>
      </c>
      <c r="U43" s="9">
        <v>1464.0</v>
      </c>
      <c r="V43" s="9">
        <v>1224.0</v>
      </c>
      <c r="W43" s="9">
        <v>577.0</v>
      </c>
      <c r="X43" s="9">
        <v>420.0</v>
      </c>
      <c r="Y43" s="9">
        <v>411.0</v>
      </c>
      <c r="Z43" s="9">
        <v>52.0</v>
      </c>
      <c r="AA43" s="9">
        <v>1172.0</v>
      </c>
      <c r="AB43" s="9">
        <v>27.0</v>
      </c>
      <c r="AC43" s="9">
        <v>550.0</v>
      </c>
      <c r="AD43" s="9">
        <v>0.0</v>
      </c>
      <c r="AE43" s="9">
        <v>420.0</v>
      </c>
    </row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1.71"/>
    <col customWidth="1" min="2" max="2" width="14.71"/>
    <col customWidth="1" min="3" max="15" width="11.71"/>
    <col customWidth="1" min="16" max="16" width="3.71"/>
    <col customWidth="1" min="17" max="17" width="11.71"/>
    <col customWidth="1" min="18" max="18" width="14.71"/>
    <col customWidth="1" min="19" max="31" width="11.71"/>
    <col customWidth="1" min="32" max="48" width="8.71"/>
  </cols>
  <sheetData>
    <row r="1">
      <c r="A1" s="1" t="s">
        <v>65</v>
      </c>
    </row>
    <row r="3">
      <c r="B3" s="2" t="s">
        <v>39</v>
      </c>
    </row>
    <row r="4">
      <c r="B4" s="3" t="s">
        <v>40</v>
      </c>
      <c r="C4" s="3" t="s">
        <v>6</v>
      </c>
      <c r="D4" s="3" t="s">
        <v>7</v>
      </c>
    </row>
    <row r="5">
      <c r="B5" s="18" t="s">
        <v>41</v>
      </c>
      <c r="C5" s="5">
        <f>MIN(B14:B43)</f>
        <v>0.001865</v>
      </c>
      <c r="D5" s="5">
        <f>MIN(R14:R43)</f>
        <v>0.001994</v>
      </c>
    </row>
    <row r="6">
      <c r="B6" s="18" t="s">
        <v>42</v>
      </c>
      <c r="C6" s="5">
        <f>MAX(B14:B43)</f>
        <v>0.002433</v>
      </c>
      <c r="D6" s="5">
        <f>MAX(R14:R43)</f>
        <v>0.002456</v>
      </c>
    </row>
    <row r="7">
      <c r="B7" s="18" t="s">
        <v>43</v>
      </c>
      <c r="C7" s="5">
        <f>AVERAGE(B14:B43)</f>
        <v>0.002121166667</v>
      </c>
      <c r="D7" s="5">
        <f>AVERAGE(R14:R43)</f>
        <v>0.0021539</v>
      </c>
    </row>
    <row r="8">
      <c r="B8" s="18" t="s">
        <v>44</v>
      </c>
      <c r="C8" s="5">
        <f>_xlfn.STDEV.S(B14:B43)</f>
        <v>0.000107630621</v>
      </c>
      <c r="D8" s="5">
        <f>_xlfn.STDEV.S(R14:R43)</f>
        <v>0.0001143079175</v>
      </c>
    </row>
    <row r="9">
      <c r="B9" s="18" t="s">
        <v>45</v>
      </c>
      <c r="C9" s="6">
        <f t="shared" ref="C9:D9" si="1">C7/C6</f>
        <v>0.8718317578</v>
      </c>
      <c r="D9" s="6">
        <f t="shared" si="1"/>
        <v>0.876995114</v>
      </c>
    </row>
    <row r="10">
      <c r="B10" s="18" t="s">
        <v>46</v>
      </c>
      <c r="C10" s="6">
        <f>AVERAGE(C14:C43)</f>
        <v>23.56666667</v>
      </c>
      <c r="D10" s="6">
        <f>AVERAGE(S14:S43)</f>
        <v>14.7</v>
      </c>
    </row>
    <row r="11">
      <c r="B11" s="18" t="s">
        <v>47</v>
      </c>
      <c r="C11" s="19">
        <f>MAX(C14:C43)</f>
        <v>27</v>
      </c>
      <c r="D11" s="19">
        <f>MAX(S14:S43)</f>
        <v>15</v>
      </c>
    </row>
    <row r="12">
      <c r="A12" s="2" t="s">
        <v>48</v>
      </c>
      <c r="Q12" s="2" t="s">
        <v>49</v>
      </c>
    </row>
    <row r="13">
      <c r="A13" s="20" t="s">
        <v>50</v>
      </c>
      <c r="B13" s="20" t="s">
        <v>51</v>
      </c>
      <c r="C13" s="20" t="s">
        <v>52</v>
      </c>
      <c r="D13" s="20" t="s">
        <v>53</v>
      </c>
      <c r="E13" s="20" t="s">
        <v>54</v>
      </c>
      <c r="F13" s="20" t="s">
        <v>55</v>
      </c>
      <c r="G13" s="20" t="s">
        <v>56</v>
      </c>
      <c r="H13" s="20" t="s">
        <v>57</v>
      </c>
      <c r="I13" s="20" t="s">
        <v>58</v>
      </c>
      <c r="J13" s="20" t="s">
        <v>59</v>
      </c>
      <c r="K13" s="20" t="s">
        <v>60</v>
      </c>
      <c r="L13" s="20" t="s">
        <v>61</v>
      </c>
      <c r="M13" s="20" t="s">
        <v>62</v>
      </c>
      <c r="N13" s="20" t="s">
        <v>63</v>
      </c>
      <c r="O13" s="20" t="s">
        <v>64</v>
      </c>
      <c r="Q13" s="21" t="s">
        <v>50</v>
      </c>
      <c r="R13" s="21" t="s">
        <v>51</v>
      </c>
      <c r="S13" s="21" t="s">
        <v>52</v>
      </c>
      <c r="T13" s="21" t="s">
        <v>53</v>
      </c>
      <c r="U13" s="21" t="s">
        <v>54</v>
      </c>
      <c r="V13" s="21" t="s">
        <v>55</v>
      </c>
      <c r="W13" s="21" t="s">
        <v>56</v>
      </c>
      <c r="X13" s="21" t="s">
        <v>57</v>
      </c>
      <c r="Y13" s="21" t="s">
        <v>58</v>
      </c>
      <c r="Z13" s="21" t="s">
        <v>59</v>
      </c>
      <c r="AA13" s="21" t="s">
        <v>60</v>
      </c>
      <c r="AB13" s="21" t="s">
        <v>61</v>
      </c>
      <c r="AC13" s="21" t="s">
        <v>62</v>
      </c>
      <c r="AD13" s="21" t="s">
        <v>63</v>
      </c>
      <c r="AE13" s="21" t="s">
        <v>64</v>
      </c>
    </row>
    <row r="14">
      <c r="A14" s="4">
        <v>1.0</v>
      </c>
      <c r="B14" s="22">
        <v>0.002119</v>
      </c>
      <c r="C14" s="4">
        <v>22.0</v>
      </c>
      <c r="D14" s="4">
        <v>2691.0</v>
      </c>
      <c r="E14" s="4">
        <v>2844.0</v>
      </c>
      <c r="F14" s="4">
        <v>2458.0</v>
      </c>
      <c r="G14" s="4">
        <v>1250.0</v>
      </c>
      <c r="H14" s="4">
        <v>819.0</v>
      </c>
      <c r="I14" s="4">
        <v>821.0</v>
      </c>
      <c r="J14" s="4">
        <v>104.0</v>
      </c>
      <c r="K14" s="4">
        <v>2354.0</v>
      </c>
      <c r="L14" s="4">
        <v>53.0</v>
      </c>
      <c r="M14" s="4">
        <v>1197.0</v>
      </c>
      <c r="N14" s="4">
        <v>0.0</v>
      </c>
      <c r="O14" s="4">
        <v>819.0</v>
      </c>
      <c r="Q14" s="4">
        <v>1.0</v>
      </c>
      <c r="R14" s="22">
        <v>0.002151</v>
      </c>
      <c r="S14" s="4">
        <v>14.0</v>
      </c>
      <c r="T14" s="4">
        <v>2691.0</v>
      </c>
      <c r="U14" s="4">
        <v>2844.0</v>
      </c>
      <c r="V14" s="4">
        <v>2458.0</v>
      </c>
      <c r="W14" s="4">
        <v>1250.0</v>
      </c>
      <c r="X14" s="4">
        <v>819.0</v>
      </c>
      <c r="Y14" s="4">
        <v>821.0</v>
      </c>
      <c r="Z14" s="4">
        <v>104.0</v>
      </c>
      <c r="AA14" s="4">
        <v>2354.0</v>
      </c>
      <c r="AB14" s="4">
        <v>53.0</v>
      </c>
      <c r="AC14" s="4">
        <v>1197.0</v>
      </c>
      <c r="AD14" s="4">
        <v>0.0</v>
      </c>
      <c r="AE14" s="4">
        <v>819.0</v>
      </c>
    </row>
    <row r="15">
      <c r="A15" s="9">
        <v>2.0</v>
      </c>
      <c r="B15" s="23">
        <v>0.002253</v>
      </c>
      <c r="C15" s="9">
        <v>23.0</v>
      </c>
      <c r="D15" s="9">
        <v>2680.0</v>
      </c>
      <c r="E15" s="9">
        <v>2826.0</v>
      </c>
      <c r="F15" s="9">
        <v>2487.0</v>
      </c>
      <c r="G15" s="9">
        <v>1232.0</v>
      </c>
      <c r="H15" s="9">
        <v>830.0</v>
      </c>
      <c r="I15" s="9">
        <v>817.0</v>
      </c>
      <c r="J15" s="9">
        <v>116.0</v>
      </c>
      <c r="K15" s="9">
        <v>2371.0</v>
      </c>
      <c r="L15" s="9">
        <v>56.0</v>
      </c>
      <c r="M15" s="9">
        <v>1176.0</v>
      </c>
      <c r="N15" s="9">
        <v>0.0</v>
      </c>
      <c r="O15" s="9">
        <v>830.0</v>
      </c>
      <c r="Q15" s="9">
        <v>2.0</v>
      </c>
      <c r="R15" s="23">
        <v>0.002446</v>
      </c>
      <c r="S15" s="9">
        <v>15.0</v>
      </c>
      <c r="T15" s="9">
        <v>2680.0</v>
      </c>
      <c r="U15" s="9">
        <v>2826.0</v>
      </c>
      <c r="V15" s="9">
        <v>2487.0</v>
      </c>
      <c r="W15" s="9">
        <v>1232.0</v>
      </c>
      <c r="X15" s="9">
        <v>830.0</v>
      </c>
      <c r="Y15" s="9">
        <v>817.0</v>
      </c>
      <c r="Z15" s="9">
        <v>116.0</v>
      </c>
      <c r="AA15" s="9">
        <v>2371.0</v>
      </c>
      <c r="AB15" s="9">
        <v>56.0</v>
      </c>
      <c r="AC15" s="9">
        <v>1176.0</v>
      </c>
      <c r="AD15" s="9">
        <v>0.0</v>
      </c>
      <c r="AE15" s="9">
        <v>830.0</v>
      </c>
    </row>
    <row r="16">
      <c r="A16" s="4">
        <v>3.0</v>
      </c>
      <c r="B16" s="22">
        <v>0.002081</v>
      </c>
      <c r="C16" s="4">
        <v>25.0</v>
      </c>
      <c r="D16" s="4">
        <v>2647.0</v>
      </c>
      <c r="E16" s="4">
        <v>2818.0</v>
      </c>
      <c r="F16" s="4">
        <v>2465.0</v>
      </c>
      <c r="G16" s="4">
        <v>1246.0</v>
      </c>
      <c r="H16" s="4">
        <v>824.0</v>
      </c>
      <c r="I16" s="4">
        <v>839.0</v>
      </c>
      <c r="J16" s="4">
        <v>108.0</v>
      </c>
      <c r="K16" s="4">
        <v>2357.0</v>
      </c>
      <c r="L16" s="4">
        <v>52.0</v>
      </c>
      <c r="M16" s="4">
        <v>1194.0</v>
      </c>
      <c r="N16" s="4">
        <v>0.0</v>
      </c>
      <c r="O16" s="4">
        <v>824.0</v>
      </c>
      <c r="Q16" s="4">
        <v>3.0</v>
      </c>
      <c r="R16" s="22">
        <v>0.002019</v>
      </c>
      <c r="S16" s="4">
        <v>15.0</v>
      </c>
      <c r="T16" s="4">
        <v>2647.0</v>
      </c>
      <c r="U16" s="4">
        <v>2818.0</v>
      </c>
      <c r="V16" s="4">
        <v>2465.0</v>
      </c>
      <c r="W16" s="4">
        <v>1246.0</v>
      </c>
      <c r="X16" s="4">
        <v>824.0</v>
      </c>
      <c r="Y16" s="4">
        <v>839.0</v>
      </c>
      <c r="Z16" s="4">
        <v>108.0</v>
      </c>
      <c r="AA16" s="4">
        <v>2357.0</v>
      </c>
      <c r="AB16" s="4">
        <v>52.0</v>
      </c>
      <c r="AC16" s="4">
        <v>1194.0</v>
      </c>
      <c r="AD16" s="4">
        <v>0.0</v>
      </c>
      <c r="AE16" s="4">
        <v>824.0</v>
      </c>
    </row>
    <row r="17">
      <c r="A17" s="9">
        <v>4.0</v>
      </c>
      <c r="B17" s="23">
        <v>0.001865</v>
      </c>
      <c r="C17" s="9">
        <v>24.0</v>
      </c>
      <c r="D17" s="9">
        <v>2730.0</v>
      </c>
      <c r="E17" s="9">
        <v>2885.0</v>
      </c>
      <c r="F17" s="9">
        <v>2435.0</v>
      </c>
      <c r="G17" s="9">
        <v>1248.0</v>
      </c>
      <c r="H17" s="9">
        <v>812.0</v>
      </c>
      <c r="I17" s="9">
        <v>812.0</v>
      </c>
      <c r="J17" s="9">
        <v>110.0</v>
      </c>
      <c r="K17" s="9">
        <v>2325.0</v>
      </c>
      <c r="L17" s="9">
        <v>40.0</v>
      </c>
      <c r="M17" s="9">
        <v>1208.0</v>
      </c>
      <c r="N17" s="9">
        <v>0.0</v>
      </c>
      <c r="O17" s="9">
        <v>812.0</v>
      </c>
      <c r="Q17" s="9">
        <v>4.0</v>
      </c>
      <c r="R17" s="23">
        <v>0.001994</v>
      </c>
      <c r="S17" s="9">
        <v>15.0</v>
      </c>
      <c r="T17" s="9">
        <v>2730.0</v>
      </c>
      <c r="U17" s="9">
        <v>2885.0</v>
      </c>
      <c r="V17" s="9">
        <v>2435.0</v>
      </c>
      <c r="W17" s="9">
        <v>1248.0</v>
      </c>
      <c r="X17" s="9">
        <v>812.0</v>
      </c>
      <c r="Y17" s="9">
        <v>812.0</v>
      </c>
      <c r="Z17" s="9">
        <v>110.0</v>
      </c>
      <c r="AA17" s="9">
        <v>2325.0</v>
      </c>
      <c r="AB17" s="9">
        <v>40.0</v>
      </c>
      <c r="AC17" s="9">
        <v>1208.0</v>
      </c>
      <c r="AD17" s="9">
        <v>0.0</v>
      </c>
      <c r="AE17" s="9">
        <v>812.0</v>
      </c>
    </row>
    <row r="18">
      <c r="A18" s="4">
        <v>5.0</v>
      </c>
      <c r="B18" s="22">
        <v>0.002107</v>
      </c>
      <c r="C18" s="4">
        <v>25.0</v>
      </c>
      <c r="D18" s="4">
        <v>2701.0</v>
      </c>
      <c r="E18" s="4">
        <v>2860.0</v>
      </c>
      <c r="F18" s="4">
        <v>2426.0</v>
      </c>
      <c r="G18" s="4">
        <v>1275.0</v>
      </c>
      <c r="H18" s="4">
        <v>825.0</v>
      </c>
      <c r="I18" s="4">
        <v>806.0</v>
      </c>
      <c r="J18" s="4">
        <v>93.0</v>
      </c>
      <c r="K18" s="4">
        <v>2333.0</v>
      </c>
      <c r="L18" s="4">
        <v>49.0</v>
      </c>
      <c r="M18" s="4">
        <v>1226.0</v>
      </c>
      <c r="N18" s="4">
        <v>0.0</v>
      </c>
      <c r="O18" s="4">
        <v>825.0</v>
      </c>
      <c r="Q18" s="4">
        <v>5.0</v>
      </c>
      <c r="R18" s="22">
        <v>0.002106</v>
      </c>
      <c r="S18" s="4">
        <v>14.0</v>
      </c>
      <c r="T18" s="4">
        <v>2701.0</v>
      </c>
      <c r="U18" s="4">
        <v>2860.0</v>
      </c>
      <c r="V18" s="4">
        <v>2426.0</v>
      </c>
      <c r="W18" s="4">
        <v>1275.0</v>
      </c>
      <c r="X18" s="4">
        <v>825.0</v>
      </c>
      <c r="Y18" s="4">
        <v>806.0</v>
      </c>
      <c r="Z18" s="4">
        <v>93.0</v>
      </c>
      <c r="AA18" s="4">
        <v>2333.0</v>
      </c>
      <c r="AB18" s="4">
        <v>49.0</v>
      </c>
      <c r="AC18" s="4">
        <v>1226.0</v>
      </c>
      <c r="AD18" s="4">
        <v>0.0</v>
      </c>
      <c r="AE18" s="4">
        <v>825.0</v>
      </c>
    </row>
    <row r="19">
      <c r="A19" s="9">
        <v>6.0</v>
      </c>
      <c r="B19" s="23">
        <v>0.002003</v>
      </c>
      <c r="C19" s="9">
        <v>25.0</v>
      </c>
      <c r="D19" s="9">
        <v>2685.0</v>
      </c>
      <c r="E19" s="9">
        <v>2840.0</v>
      </c>
      <c r="F19" s="9">
        <v>2569.0</v>
      </c>
      <c r="G19" s="9">
        <v>1203.0</v>
      </c>
      <c r="H19" s="9">
        <v>736.0</v>
      </c>
      <c r="I19" s="9">
        <v>844.0</v>
      </c>
      <c r="J19" s="9">
        <v>105.0</v>
      </c>
      <c r="K19" s="9">
        <v>2464.0</v>
      </c>
      <c r="L19" s="9">
        <v>44.0</v>
      </c>
      <c r="M19" s="9">
        <v>1159.0</v>
      </c>
      <c r="N19" s="9">
        <v>0.0</v>
      </c>
      <c r="O19" s="9">
        <v>736.0</v>
      </c>
      <c r="Q19" s="9">
        <v>6.0</v>
      </c>
      <c r="R19" s="23">
        <v>0.002357</v>
      </c>
      <c r="S19" s="9">
        <v>15.0</v>
      </c>
      <c r="T19" s="9">
        <v>2685.0</v>
      </c>
      <c r="U19" s="9">
        <v>2840.0</v>
      </c>
      <c r="V19" s="9">
        <v>2569.0</v>
      </c>
      <c r="W19" s="9">
        <v>1203.0</v>
      </c>
      <c r="X19" s="9">
        <v>736.0</v>
      </c>
      <c r="Y19" s="9">
        <v>844.0</v>
      </c>
      <c r="Z19" s="9">
        <v>105.0</v>
      </c>
      <c r="AA19" s="9">
        <v>2464.0</v>
      </c>
      <c r="AB19" s="9">
        <v>44.0</v>
      </c>
      <c r="AC19" s="9">
        <v>1159.0</v>
      </c>
      <c r="AD19" s="9">
        <v>0.0</v>
      </c>
      <c r="AE19" s="9">
        <v>736.0</v>
      </c>
    </row>
    <row r="20">
      <c r="A20" s="4">
        <v>7.0</v>
      </c>
      <c r="B20" s="22">
        <v>0.002112</v>
      </c>
      <c r="C20" s="4">
        <v>22.0</v>
      </c>
      <c r="D20" s="4">
        <v>2630.0</v>
      </c>
      <c r="E20" s="4">
        <v>2794.0</v>
      </c>
      <c r="F20" s="4">
        <v>2447.0</v>
      </c>
      <c r="G20" s="4">
        <v>1243.0</v>
      </c>
      <c r="H20" s="4">
        <v>829.0</v>
      </c>
      <c r="I20" s="4">
        <v>879.0</v>
      </c>
      <c r="J20" s="4">
        <v>98.0</v>
      </c>
      <c r="K20" s="4">
        <v>2349.0</v>
      </c>
      <c r="L20" s="4">
        <v>61.0</v>
      </c>
      <c r="M20" s="4">
        <v>1182.0</v>
      </c>
      <c r="N20" s="4">
        <v>1.0</v>
      </c>
      <c r="O20" s="4">
        <v>828.0</v>
      </c>
      <c r="Q20" s="4">
        <v>7.0</v>
      </c>
      <c r="R20" s="22">
        <v>0.002191</v>
      </c>
      <c r="S20" s="4">
        <v>15.0</v>
      </c>
      <c r="T20" s="4">
        <v>2630.0</v>
      </c>
      <c r="U20" s="4">
        <v>2794.0</v>
      </c>
      <c r="V20" s="4">
        <v>2447.0</v>
      </c>
      <c r="W20" s="4">
        <v>1243.0</v>
      </c>
      <c r="X20" s="4">
        <v>829.0</v>
      </c>
      <c r="Y20" s="4">
        <v>879.0</v>
      </c>
      <c r="Z20" s="4">
        <v>98.0</v>
      </c>
      <c r="AA20" s="4">
        <v>2349.0</v>
      </c>
      <c r="AB20" s="4">
        <v>61.0</v>
      </c>
      <c r="AC20" s="4">
        <v>1182.0</v>
      </c>
      <c r="AD20" s="4">
        <v>1.0</v>
      </c>
      <c r="AE20" s="4">
        <v>828.0</v>
      </c>
    </row>
    <row r="21" ht="15.75" customHeight="1">
      <c r="A21" s="9">
        <v>8.0</v>
      </c>
      <c r="B21" s="23">
        <v>0.002222</v>
      </c>
      <c r="C21" s="9">
        <v>24.0</v>
      </c>
      <c r="D21" s="9">
        <v>2739.0</v>
      </c>
      <c r="E21" s="9">
        <v>2906.0</v>
      </c>
      <c r="F21" s="9">
        <v>2483.0</v>
      </c>
      <c r="G21" s="9">
        <v>1223.0</v>
      </c>
      <c r="H21" s="9">
        <v>759.0</v>
      </c>
      <c r="I21" s="9">
        <v>821.0</v>
      </c>
      <c r="J21" s="9">
        <v>111.0</v>
      </c>
      <c r="K21" s="9">
        <v>2372.0</v>
      </c>
      <c r="L21" s="9">
        <v>42.0</v>
      </c>
      <c r="M21" s="9">
        <v>1181.0</v>
      </c>
      <c r="N21" s="9">
        <v>0.0</v>
      </c>
      <c r="O21" s="9">
        <v>759.0</v>
      </c>
      <c r="Q21" s="9">
        <v>8.0</v>
      </c>
      <c r="R21" s="23">
        <v>0.002184</v>
      </c>
      <c r="S21" s="9">
        <v>15.0</v>
      </c>
      <c r="T21" s="9">
        <v>2739.0</v>
      </c>
      <c r="U21" s="9">
        <v>2906.0</v>
      </c>
      <c r="V21" s="9">
        <v>2483.0</v>
      </c>
      <c r="W21" s="9">
        <v>1223.0</v>
      </c>
      <c r="X21" s="9">
        <v>759.0</v>
      </c>
      <c r="Y21" s="9">
        <v>821.0</v>
      </c>
      <c r="Z21" s="9">
        <v>111.0</v>
      </c>
      <c r="AA21" s="9">
        <v>2372.0</v>
      </c>
      <c r="AB21" s="9">
        <v>42.0</v>
      </c>
      <c r="AC21" s="9">
        <v>1181.0</v>
      </c>
      <c r="AD21" s="9">
        <v>0.0</v>
      </c>
      <c r="AE21" s="9">
        <v>759.0</v>
      </c>
    </row>
    <row r="22" ht="15.75" customHeight="1">
      <c r="A22" s="4">
        <v>9.0</v>
      </c>
      <c r="B22" s="22">
        <v>0.00207</v>
      </c>
      <c r="C22" s="4">
        <v>24.0</v>
      </c>
      <c r="D22" s="4">
        <v>2664.0</v>
      </c>
      <c r="E22" s="4">
        <v>2820.0</v>
      </c>
      <c r="F22" s="4">
        <v>2445.0</v>
      </c>
      <c r="G22" s="4">
        <v>1248.0</v>
      </c>
      <c r="H22" s="4">
        <v>817.0</v>
      </c>
      <c r="I22" s="4">
        <v>862.0</v>
      </c>
      <c r="J22" s="4">
        <v>98.0</v>
      </c>
      <c r="K22" s="4">
        <v>2347.0</v>
      </c>
      <c r="L22" s="4">
        <v>53.0</v>
      </c>
      <c r="M22" s="4">
        <v>1195.0</v>
      </c>
      <c r="N22" s="4">
        <v>1.0</v>
      </c>
      <c r="O22" s="4">
        <v>816.0</v>
      </c>
      <c r="Q22" s="4">
        <v>9.0</v>
      </c>
      <c r="R22" s="22">
        <v>0.002456</v>
      </c>
      <c r="S22" s="4">
        <v>14.0</v>
      </c>
      <c r="T22" s="4">
        <v>2664.0</v>
      </c>
      <c r="U22" s="4">
        <v>2820.0</v>
      </c>
      <c r="V22" s="4">
        <v>2445.0</v>
      </c>
      <c r="W22" s="4">
        <v>1248.0</v>
      </c>
      <c r="X22" s="4">
        <v>817.0</v>
      </c>
      <c r="Y22" s="4">
        <v>862.0</v>
      </c>
      <c r="Z22" s="4">
        <v>98.0</v>
      </c>
      <c r="AA22" s="4">
        <v>2347.0</v>
      </c>
      <c r="AB22" s="4">
        <v>53.0</v>
      </c>
      <c r="AC22" s="4">
        <v>1195.0</v>
      </c>
      <c r="AD22" s="4">
        <v>1.0</v>
      </c>
      <c r="AE22" s="4">
        <v>816.0</v>
      </c>
    </row>
    <row r="23" ht="15.75" customHeight="1">
      <c r="A23" s="9">
        <v>10.0</v>
      </c>
      <c r="B23" s="23">
        <v>0.002433</v>
      </c>
      <c r="C23" s="9">
        <v>27.0</v>
      </c>
      <c r="D23" s="9">
        <v>2714.0</v>
      </c>
      <c r="E23" s="9">
        <v>2880.0</v>
      </c>
      <c r="F23" s="9">
        <v>2445.0</v>
      </c>
      <c r="G23" s="9">
        <v>1265.0</v>
      </c>
      <c r="H23" s="9">
        <v>787.0</v>
      </c>
      <c r="I23" s="9">
        <v>815.0</v>
      </c>
      <c r="J23" s="9">
        <v>91.0</v>
      </c>
      <c r="K23" s="9">
        <v>2354.0</v>
      </c>
      <c r="L23" s="9">
        <v>60.0</v>
      </c>
      <c r="M23" s="9">
        <v>1205.0</v>
      </c>
      <c r="N23" s="9">
        <v>0.0</v>
      </c>
      <c r="O23" s="9">
        <v>787.0</v>
      </c>
      <c r="Q23" s="9">
        <v>10.0</v>
      </c>
      <c r="R23" s="23">
        <v>0.002126</v>
      </c>
      <c r="S23" s="9">
        <v>15.0</v>
      </c>
      <c r="T23" s="9">
        <v>2714.0</v>
      </c>
      <c r="U23" s="9">
        <v>2880.0</v>
      </c>
      <c r="V23" s="9">
        <v>2445.0</v>
      </c>
      <c r="W23" s="9">
        <v>1265.0</v>
      </c>
      <c r="X23" s="9">
        <v>787.0</v>
      </c>
      <c r="Y23" s="9">
        <v>815.0</v>
      </c>
      <c r="Z23" s="9">
        <v>91.0</v>
      </c>
      <c r="AA23" s="9">
        <v>2354.0</v>
      </c>
      <c r="AB23" s="9">
        <v>60.0</v>
      </c>
      <c r="AC23" s="9">
        <v>1205.0</v>
      </c>
      <c r="AD23" s="9">
        <v>0.0</v>
      </c>
      <c r="AE23" s="9">
        <v>787.0</v>
      </c>
    </row>
    <row r="24" ht="15.75" customHeight="1">
      <c r="A24" s="4">
        <v>11.0</v>
      </c>
      <c r="B24" s="22">
        <v>0.001951</v>
      </c>
      <c r="C24" s="4">
        <v>23.0</v>
      </c>
      <c r="D24" s="4">
        <v>2744.0</v>
      </c>
      <c r="E24" s="4">
        <v>2895.0</v>
      </c>
      <c r="F24" s="4">
        <v>2462.0</v>
      </c>
      <c r="G24" s="4">
        <v>1279.0</v>
      </c>
      <c r="H24" s="4">
        <v>772.0</v>
      </c>
      <c r="I24" s="4">
        <v>784.0</v>
      </c>
      <c r="J24" s="4">
        <v>99.0</v>
      </c>
      <c r="K24" s="4">
        <v>2363.0</v>
      </c>
      <c r="L24" s="4">
        <v>52.0</v>
      </c>
      <c r="M24" s="4">
        <v>1227.0</v>
      </c>
      <c r="N24" s="4">
        <v>0.0</v>
      </c>
      <c r="O24" s="4">
        <v>772.0</v>
      </c>
      <c r="Q24" s="4">
        <v>11.0</v>
      </c>
      <c r="R24" s="22">
        <v>0.002067</v>
      </c>
      <c r="S24" s="4">
        <v>15.0</v>
      </c>
      <c r="T24" s="4">
        <v>2744.0</v>
      </c>
      <c r="U24" s="4">
        <v>2895.0</v>
      </c>
      <c r="V24" s="4">
        <v>2462.0</v>
      </c>
      <c r="W24" s="4">
        <v>1279.0</v>
      </c>
      <c r="X24" s="4">
        <v>772.0</v>
      </c>
      <c r="Y24" s="4">
        <v>784.0</v>
      </c>
      <c r="Z24" s="4">
        <v>99.0</v>
      </c>
      <c r="AA24" s="4">
        <v>2363.0</v>
      </c>
      <c r="AB24" s="4">
        <v>52.0</v>
      </c>
      <c r="AC24" s="4">
        <v>1227.0</v>
      </c>
      <c r="AD24" s="4">
        <v>0.0</v>
      </c>
      <c r="AE24" s="4">
        <v>772.0</v>
      </c>
    </row>
    <row r="25" ht="15.75" customHeight="1">
      <c r="A25" s="9">
        <v>12.0</v>
      </c>
      <c r="B25" s="23">
        <v>0.002167</v>
      </c>
      <c r="C25" s="9">
        <v>24.0</v>
      </c>
      <c r="D25" s="9">
        <v>2784.0</v>
      </c>
      <c r="E25" s="9">
        <v>2950.0</v>
      </c>
      <c r="F25" s="9">
        <v>2396.0</v>
      </c>
      <c r="G25" s="9">
        <v>1188.0</v>
      </c>
      <c r="H25" s="9">
        <v>816.0</v>
      </c>
      <c r="I25" s="9">
        <v>842.0</v>
      </c>
      <c r="J25" s="9">
        <v>103.0</v>
      </c>
      <c r="K25" s="9">
        <v>2293.0</v>
      </c>
      <c r="L25" s="9">
        <v>42.0</v>
      </c>
      <c r="M25" s="9">
        <v>1146.0</v>
      </c>
      <c r="N25" s="9">
        <v>0.0</v>
      </c>
      <c r="O25" s="9">
        <v>816.0</v>
      </c>
      <c r="Q25" s="9">
        <v>12.0</v>
      </c>
      <c r="R25" s="23">
        <v>0.002126</v>
      </c>
      <c r="S25" s="9">
        <v>15.0</v>
      </c>
      <c r="T25" s="9">
        <v>2784.0</v>
      </c>
      <c r="U25" s="9">
        <v>2950.0</v>
      </c>
      <c r="V25" s="9">
        <v>2396.0</v>
      </c>
      <c r="W25" s="9">
        <v>1188.0</v>
      </c>
      <c r="X25" s="9">
        <v>816.0</v>
      </c>
      <c r="Y25" s="9">
        <v>842.0</v>
      </c>
      <c r="Z25" s="9">
        <v>103.0</v>
      </c>
      <c r="AA25" s="9">
        <v>2293.0</v>
      </c>
      <c r="AB25" s="9">
        <v>42.0</v>
      </c>
      <c r="AC25" s="9">
        <v>1146.0</v>
      </c>
      <c r="AD25" s="9">
        <v>0.0</v>
      </c>
      <c r="AE25" s="9">
        <v>816.0</v>
      </c>
    </row>
    <row r="26" ht="15.75" customHeight="1">
      <c r="A26" s="4">
        <v>13.0</v>
      </c>
      <c r="B26" s="22">
        <v>0.002221</v>
      </c>
      <c r="C26" s="4">
        <v>24.0</v>
      </c>
      <c r="D26" s="4">
        <v>2728.0</v>
      </c>
      <c r="E26" s="4">
        <v>2886.0</v>
      </c>
      <c r="F26" s="4">
        <v>2414.0</v>
      </c>
      <c r="G26" s="4">
        <v>1272.0</v>
      </c>
      <c r="H26" s="4">
        <v>809.0</v>
      </c>
      <c r="I26" s="4">
        <v>811.0</v>
      </c>
      <c r="J26" s="4">
        <v>133.0</v>
      </c>
      <c r="K26" s="4">
        <v>2281.0</v>
      </c>
      <c r="L26" s="4">
        <v>62.0</v>
      </c>
      <c r="M26" s="4">
        <v>1210.0</v>
      </c>
      <c r="N26" s="4">
        <v>1.0</v>
      </c>
      <c r="O26" s="4">
        <v>808.0</v>
      </c>
      <c r="Q26" s="4">
        <v>13.0</v>
      </c>
      <c r="R26" s="22">
        <v>0.002291</v>
      </c>
      <c r="S26" s="4">
        <v>15.0</v>
      </c>
      <c r="T26" s="4">
        <v>2728.0</v>
      </c>
      <c r="U26" s="4">
        <v>2886.0</v>
      </c>
      <c r="V26" s="4">
        <v>2414.0</v>
      </c>
      <c r="W26" s="4">
        <v>1272.0</v>
      </c>
      <c r="X26" s="4">
        <v>809.0</v>
      </c>
      <c r="Y26" s="4">
        <v>811.0</v>
      </c>
      <c r="Z26" s="4">
        <v>133.0</v>
      </c>
      <c r="AA26" s="4">
        <v>2281.0</v>
      </c>
      <c r="AB26" s="4">
        <v>62.0</v>
      </c>
      <c r="AC26" s="4">
        <v>1210.0</v>
      </c>
      <c r="AD26" s="4">
        <v>1.0</v>
      </c>
      <c r="AE26" s="4">
        <v>808.0</v>
      </c>
    </row>
    <row r="27" ht="15.75" customHeight="1">
      <c r="A27" s="9">
        <v>14.0</v>
      </c>
      <c r="B27" s="23">
        <v>0.002144</v>
      </c>
      <c r="C27" s="9">
        <v>22.0</v>
      </c>
      <c r="D27" s="9">
        <v>2712.0</v>
      </c>
      <c r="E27" s="9">
        <v>2881.0</v>
      </c>
      <c r="F27" s="9">
        <v>2472.0</v>
      </c>
      <c r="G27" s="9">
        <v>1198.0</v>
      </c>
      <c r="H27" s="9">
        <v>775.0</v>
      </c>
      <c r="I27" s="9">
        <v>866.0</v>
      </c>
      <c r="J27" s="9">
        <v>107.0</v>
      </c>
      <c r="K27" s="9">
        <v>2365.0</v>
      </c>
      <c r="L27" s="9">
        <v>43.0</v>
      </c>
      <c r="M27" s="9">
        <v>1155.0</v>
      </c>
      <c r="N27" s="9">
        <v>0.0</v>
      </c>
      <c r="O27" s="9">
        <v>775.0</v>
      </c>
      <c r="Q27" s="9">
        <v>14.0</v>
      </c>
      <c r="R27" s="23">
        <v>0.002101</v>
      </c>
      <c r="S27" s="9">
        <v>14.0</v>
      </c>
      <c r="T27" s="9">
        <v>2712.0</v>
      </c>
      <c r="U27" s="9">
        <v>2881.0</v>
      </c>
      <c r="V27" s="9">
        <v>2472.0</v>
      </c>
      <c r="W27" s="9">
        <v>1198.0</v>
      </c>
      <c r="X27" s="9">
        <v>775.0</v>
      </c>
      <c r="Y27" s="9">
        <v>866.0</v>
      </c>
      <c r="Z27" s="9">
        <v>107.0</v>
      </c>
      <c r="AA27" s="9">
        <v>2365.0</v>
      </c>
      <c r="AB27" s="9">
        <v>43.0</v>
      </c>
      <c r="AC27" s="9">
        <v>1155.0</v>
      </c>
      <c r="AD27" s="9">
        <v>0.0</v>
      </c>
      <c r="AE27" s="9">
        <v>775.0</v>
      </c>
    </row>
    <row r="28" ht="15.75" customHeight="1">
      <c r="A28" s="4">
        <v>15.0</v>
      </c>
      <c r="B28" s="22">
        <v>0.002193</v>
      </c>
      <c r="C28" s="4">
        <v>23.0</v>
      </c>
      <c r="D28" s="4">
        <v>2676.0</v>
      </c>
      <c r="E28" s="4">
        <v>2849.0</v>
      </c>
      <c r="F28" s="4">
        <v>2465.0</v>
      </c>
      <c r="G28" s="4">
        <v>1259.0</v>
      </c>
      <c r="H28" s="4">
        <v>830.0</v>
      </c>
      <c r="I28" s="4">
        <v>789.0</v>
      </c>
      <c r="J28" s="4">
        <v>106.0</v>
      </c>
      <c r="K28" s="4">
        <v>2359.0</v>
      </c>
      <c r="L28" s="4">
        <v>50.0</v>
      </c>
      <c r="M28" s="4">
        <v>1209.0</v>
      </c>
      <c r="N28" s="4">
        <v>0.0</v>
      </c>
      <c r="O28" s="4">
        <v>830.0</v>
      </c>
      <c r="Q28" s="4">
        <v>15.0</v>
      </c>
      <c r="R28" s="22">
        <v>0.002117</v>
      </c>
      <c r="S28" s="4">
        <v>15.0</v>
      </c>
      <c r="T28" s="4">
        <v>2676.0</v>
      </c>
      <c r="U28" s="4">
        <v>2849.0</v>
      </c>
      <c r="V28" s="4">
        <v>2465.0</v>
      </c>
      <c r="W28" s="4">
        <v>1259.0</v>
      </c>
      <c r="X28" s="4">
        <v>830.0</v>
      </c>
      <c r="Y28" s="4">
        <v>789.0</v>
      </c>
      <c r="Z28" s="4">
        <v>106.0</v>
      </c>
      <c r="AA28" s="4">
        <v>2359.0</v>
      </c>
      <c r="AB28" s="4">
        <v>50.0</v>
      </c>
      <c r="AC28" s="4">
        <v>1209.0</v>
      </c>
      <c r="AD28" s="4">
        <v>0.0</v>
      </c>
      <c r="AE28" s="4">
        <v>830.0</v>
      </c>
    </row>
    <row r="29" ht="15.75" customHeight="1">
      <c r="A29" s="9">
        <v>16.0</v>
      </c>
      <c r="B29" s="23">
        <v>0.002027</v>
      </c>
      <c r="C29" s="9">
        <v>21.0</v>
      </c>
      <c r="D29" s="9">
        <v>2784.0</v>
      </c>
      <c r="E29" s="9">
        <v>2930.0</v>
      </c>
      <c r="F29" s="9">
        <v>2436.0</v>
      </c>
      <c r="G29" s="9">
        <v>1195.0</v>
      </c>
      <c r="H29" s="9">
        <v>817.0</v>
      </c>
      <c r="I29" s="9">
        <v>814.0</v>
      </c>
      <c r="J29" s="9">
        <v>123.0</v>
      </c>
      <c r="K29" s="9">
        <v>2313.0</v>
      </c>
      <c r="L29" s="9">
        <v>53.0</v>
      </c>
      <c r="M29" s="9">
        <v>1142.0</v>
      </c>
      <c r="N29" s="9">
        <v>0.0</v>
      </c>
      <c r="O29" s="9">
        <v>817.0</v>
      </c>
      <c r="Q29" s="9">
        <v>16.0</v>
      </c>
      <c r="R29" s="23">
        <v>0.002117</v>
      </c>
      <c r="S29" s="9">
        <v>15.0</v>
      </c>
      <c r="T29" s="9">
        <v>2784.0</v>
      </c>
      <c r="U29" s="9">
        <v>2930.0</v>
      </c>
      <c r="V29" s="9">
        <v>2436.0</v>
      </c>
      <c r="W29" s="9">
        <v>1195.0</v>
      </c>
      <c r="X29" s="9">
        <v>817.0</v>
      </c>
      <c r="Y29" s="9">
        <v>814.0</v>
      </c>
      <c r="Z29" s="9">
        <v>123.0</v>
      </c>
      <c r="AA29" s="9">
        <v>2313.0</v>
      </c>
      <c r="AB29" s="9">
        <v>53.0</v>
      </c>
      <c r="AC29" s="9">
        <v>1142.0</v>
      </c>
      <c r="AD29" s="9">
        <v>0.0</v>
      </c>
      <c r="AE29" s="9">
        <v>817.0</v>
      </c>
    </row>
    <row r="30" ht="15.75" customHeight="1">
      <c r="A30" s="4">
        <v>17.0</v>
      </c>
      <c r="B30" s="22">
        <v>0.002035</v>
      </c>
      <c r="C30" s="4">
        <v>23.0</v>
      </c>
      <c r="D30" s="4">
        <v>2778.0</v>
      </c>
      <c r="E30" s="4">
        <v>2931.0</v>
      </c>
      <c r="F30" s="4">
        <v>2428.0</v>
      </c>
      <c r="G30" s="4">
        <v>1236.0</v>
      </c>
      <c r="H30" s="4">
        <v>788.0</v>
      </c>
      <c r="I30" s="4">
        <v>809.0</v>
      </c>
      <c r="J30" s="4">
        <v>118.0</v>
      </c>
      <c r="K30" s="4">
        <v>2310.0</v>
      </c>
      <c r="L30" s="4">
        <v>51.0</v>
      </c>
      <c r="M30" s="4">
        <v>1185.0</v>
      </c>
      <c r="N30" s="4">
        <v>1.0</v>
      </c>
      <c r="O30" s="4">
        <v>787.0</v>
      </c>
      <c r="Q30" s="4">
        <v>17.0</v>
      </c>
      <c r="R30" s="22">
        <v>0.002072</v>
      </c>
      <c r="S30" s="4">
        <v>15.0</v>
      </c>
      <c r="T30" s="4">
        <v>2778.0</v>
      </c>
      <c r="U30" s="4">
        <v>2931.0</v>
      </c>
      <c r="V30" s="4">
        <v>2428.0</v>
      </c>
      <c r="W30" s="4">
        <v>1236.0</v>
      </c>
      <c r="X30" s="4">
        <v>788.0</v>
      </c>
      <c r="Y30" s="4">
        <v>809.0</v>
      </c>
      <c r="Z30" s="4">
        <v>118.0</v>
      </c>
      <c r="AA30" s="4">
        <v>2310.0</v>
      </c>
      <c r="AB30" s="4">
        <v>51.0</v>
      </c>
      <c r="AC30" s="4">
        <v>1185.0</v>
      </c>
      <c r="AD30" s="4">
        <v>1.0</v>
      </c>
      <c r="AE30" s="4">
        <v>787.0</v>
      </c>
    </row>
    <row r="31" ht="15.75" customHeight="1">
      <c r="A31" s="9">
        <v>18.0</v>
      </c>
      <c r="B31" s="23">
        <v>0.002115</v>
      </c>
      <c r="C31" s="9">
        <v>26.0</v>
      </c>
      <c r="D31" s="9">
        <v>2765.0</v>
      </c>
      <c r="E31" s="9">
        <v>2934.0</v>
      </c>
      <c r="F31" s="9">
        <v>2424.0</v>
      </c>
      <c r="G31" s="9">
        <v>1242.0</v>
      </c>
      <c r="H31" s="9">
        <v>782.0</v>
      </c>
      <c r="I31" s="9">
        <v>810.0</v>
      </c>
      <c r="J31" s="9">
        <v>97.0</v>
      </c>
      <c r="K31" s="9">
        <v>2327.0</v>
      </c>
      <c r="L31" s="9">
        <v>51.0</v>
      </c>
      <c r="M31" s="9">
        <v>1191.0</v>
      </c>
      <c r="N31" s="9">
        <v>0.0</v>
      </c>
      <c r="O31" s="9">
        <v>782.0</v>
      </c>
      <c r="Q31" s="9">
        <v>18.0</v>
      </c>
      <c r="R31" s="23">
        <v>0.002089</v>
      </c>
      <c r="S31" s="9">
        <v>15.0</v>
      </c>
      <c r="T31" s="9">
        <v>2765.0</v>
      </c>
      <c r="U31" s="9">
        <v>2934.0</v>
      </c>
      <c r="V31" s="9">
        <v>2424.0</v>
      </c>
      <c r="W31" s="9">
        <v>1242.0</v>
      </c>
      <c r="X31" s="9">
        <v>782.0</v>
      </c>
      <c r="Y31" s="9">
        <v>810.0</v>
      </c>
      <c r="Z31" s="9">
        <v>97.0</v>
      </c>
      <c r="AA31" s="9">
        <v>2327.0</v>
      </c>
      <c r="AB31" s="9">
        <v>51.0</v>
      </c>
      <c r="AC31" s="9">
        <v>1191.0</v>
      </c>
      <c r="AD31" s="9">
        <v>0.0</v>
      </c>
      <c r="AE31" s="9">
        <v>782.0</v>
      </c>
    </row>
    <row r="32" ht="15.75" customHeight="1">
      <c r="A32" s="4">
        <v>19.0</v>
      </c>
      <c r="B32" s="22">
        <v>0.002111</v>
      </c>
      <c r="C32" s="4">
        <v>22.0</v>
      </c>
      <c r="D32" s="4">
        <v>2754.0</v>
      </c>
      <c r="E32" s="4">
        <v>2912.0</v>
      </c>
      <c r="F32" s="4">
        <v>2468.0</v>
      </c>
      <c r="G32" s="4">
        <v>1183.0</v>
      </c>
      <c r="H32" s="4">
        <v>785.0</v>
      </c>
      <c r="I32" s="4">
        <v>844.0</v>
      </c>
      <c r="J32" s="4">
        <v>106.0</v>
      </c>
      <c r="K32" s="4">
        <v>2362.0</v>
      </c>
      <c r="L32" s="4">
        <v>48.0</v>
      </c>
      <c r="M32" s="4">
        <v>1135.0</v>
      </c>
      <c r="N32" s="4">
        <v>0.0</v>
      </c>
      <c r="O32" s="4">
        <v>785.0</v>
      </c>
      <c r="Q32" s="4">
        <v>19.0</v>
      </c>
      <c r="R32" s="22">
        <v>0.002134</v>
      </c>
      <c r="S32" s="4">
        <v>15.0</v>
      </c>
      <c r="T32" s="4">
        <v>2754.0</v>
      </c>
      <c r="U32" s="4">
        <v>2912.0</v>
      </c>
      <c r="V32" s="4">
        <v>2468.0</v>
      </c>
      <c r="W32" s="4">
        <v>1183.0</v>
      </c>
      <c r="X32" s="4">
        <v>785.0</v>
      </c>
      <c r="Y32" s="4">
        <v>844.0</v>
      </c>
      <c r="Z32" s="4">
        <v>106.0</v>
      </c>
      <c r="AA32" s="4">
        <v>2362.0</v>
      </c>
      <c r="AB32" s="4">
        <v>48.0</v>
      </c>
      <c r="AC32" s="4">
        <v>1135.0</v>
      </c>
      <c r="AD32" s="4">
        <v>0.0</v>
      </c>
      <c r="AE32" s="4">
        <v>785.0</v>
      </c>
    </row>
    <row r="33" ht="15.75" customHeight="1">
      <c r="A33" s="9">
        <v>20.0</v>
      </c>
      <c r="B33" s="23">
        <v>0.002247</v>
      </c>
      <c r="C33" s="9">
        <v>22.0</v>
      </c>
      <c r="D33" s="9">
        <v>2676.0</v>
      </c>
      <c r="E33" s="9">
        <v>2842.0</v>
      </c>
      <c r="F33" s="9">
        <v>2441.0</v>
      </c>
      <c r="G33" s="9">
        <v>1244.0</v>
      </c>
      <c r="H33" s="9">
        <v>809.0</v>
      </c>
      <c r="I33" s="9">
        <v>856.0</v>
      </c>
      <c r="J33" s="9">
        <v>105.0</v>
      </c>
      <c r="K33" s="9">
        <v>2336.0</v>
      </c>
      <c r="L33" s="9">
        <v>40.0</v>
      </c>
      <c r="M33" s="9">
        <v>1204.0</v>
      </c>
      <c r="N33" s="9">
        <v>0.0</v>
      </c>
      <c r="O33" s="9">
        <v>809.0</v>
      </c>
      <c r="Q33" s="9">
        <v>20.0</v>
      </c>
      <c r="R33" s="23">
        <v>0.002325</v>
      </c>
      <c r="S33" s="9">
        <v>14.0</v>
      </c>
      <c r="T33" s="9">
        <v>2676.0</v>
      </c>
      <c r="U33" s="9">
        <v>2842.0</v>
      </c>
      <c r="V33" s="9">
        <v>2441.0</v>
      </c>
      <c r="W33" s="9">
        <v>1244.0</v>
      </c>
      <c r="X33" s="9">
        <v>809.0</v>
      </c>
      <c r="Y33" s="9">
        <v>856.0</v>
      </c>
      <c r="Z33" s="9">
        <v>105.0</v>
      </c>
      <c r="AA33" s="9">
        <v>2336.0</v>
      </c>
      <c r="AB33" s="9">
        <v>40.0</v>
      </c>
      <c r="AC33" s="9">
        <v>1204.0</v>
      </c>
      <c r="AD33" s="9">
        <v>0.0</v>
      </c>
      <c r="AE33" s="9">
        <v>809.0</v>
      </c>
    </row>
    <row r="34" ht="15.75" customHeight="1">
      <c r="A34" s="4">
        <v>21.0</v>
      </c>
      <c r="B34" s="22">
        <v>0.00228</v>
      </c>
      <c r="C34" s="4">
        <v>26.0</v>
      </c>
      <c r="D34" s="4">
        <v>2667.0</v>
      </c>
      <c r="E34" s="4">
        <v>2856.0</v>
      </c>
      <c r="F34" s="4">
        <v>2500.0</v>
      </c>
      <c r="G34" s="4">
        <v>1222.0</v>
      </c>
      <c r="H34" s="4">
        <v>827.0</v>
      </c>
      <c r="I34" s="4">
        <v>787.0</v>
      </c>
      <c r="J34" s="4">
        <v>113.0</v>
      </c>
      <c r="K34" s="4">
        <v>2387.0</v>
      </c>
      <c r="L34" s="4">
        <v>62.0</v>
      </c>
      <c r="M34" s="4">
        <v>1160.0</v>
      </c>
      <c r="N34" s="4">
        <v>0.0</v>
      </c>
      <c r="O34" s="4">
        <v>827.0</v>
      </c>
      <c r="Q34" s="4">
        <v>21.0</v>
      </c>
      <c r="R34" s="22">
        <v>0.002199</v>
      </c>
      <c r="S34" s="4">
        <v>15.0</v>
      </c>
      <c r="T34" s="4">
        <v>2667.0</v>
      </c>
      <c r="U34" s="4">
        <v>2856.0</v>
      </c>
      <c r="V34" s="4">
        <v>2500.0</v>
      </c>
      <c r="W34" s="4">
        <v>1222.0</v>
      </c>
      <c r="X34" s="4">
        <v>827.0</v>
      </c>
      <c r="Y34" s="4">
        <v>787.0</v>
      </c>
      <c r="Z34" s="4">
        <v>113.0</v>
      </c>
      <c r="AA34" s="4">
        <v>2387.0</v>
      </c>
      <c r="AB34" s="4">
        <v>62.0</v>
      </c>
      <c r="AC34" s="4">
        <v>1160.0</v>
      </c>
      <c r="AD34" s="4">
        <v>0.0</v>
      </c>
      <c r="AE34" s="4">
        <v>827.0</v>
      </c>
    </row>
    <row r="35" ht="15.75" customHeight="1">
      <c r="A35" s="9">
        <v>22.0</v>
      </c>
      <c r="B35" s="23">
        <v>0.002171</v>
      </c>
      <c r="C35" s="9">
        <v>24.0</v>
      </c>
      <c r="D35" s="9">
        <v>2712.0</v>
      </c>
      <c r="E35" s="9">
        <v>2861.0</v>
      </c>
      <c r="F35" s="9">
        <v>2500.0</v>
      </c>
      <c r="G35" s="9">
        <v>1188.0</v>
      </c>
      <c r="H35" s="9">
        <v>827.0</v>
      </c>
      <c r="I35" s="9">
        <v>816.0</v>
      </c>
      <c r="J35" s="9">
        <v>99.0</v>
      </c>
      <c r="K35" s="9">
        <v>2401.0</v>
      </c>
      <c r="L35" s="9">
        <v>40.0</v>
      </c>
      <c r="M35" s="9">
        <v>1148.0</v>
      </c>
      <c r="N35" s="9">
        <v>1.0</v>
      </c>
      <c r="O35" s="9">
        <v>826.0</v>
      </c>
      <c r="Q35" s="9">
        <v>22.0</v>
      </c>
      <c r="R35" s="23">
        <v>0.002093</v>
      </c>
      <c r="S35" s="9">
        <v>15.0</v>
      </c>
      <c r="T35" s="9">
        <v>2712.0</v>
      </c>
      <c r="U35" s="9">
        <v>2861.0</v>
      </c>
      <c r="V35" s="9">
        <v>2500.0</v>
      </c>
      <c r="W35" s="9">
        <v>1188.0</v>
      </c>
      <c r="X35" s="9">
        <v>827.0</v>
      </c>
      <c r="Y35" s="9">
        <v>816.0</v>
      </c>
      <c r="Z35" s="9">
        <v>99.0</v>
      </c>
      <c r="AA35" s="9">
        <v>2401.0</v>
      </c>
      <c r="AB35" s="9">
        <v>40.0</v>
      </c>
      <c r="AC35" s="9">
        <v>1148.0</v>
      </c>
      <c r="AD35" s="9">
        <v>1.0</v>
      </c>
      <c r="AE35" s="9">
        <v>826.0</v>
      </c>
    </row>
    <row r="36" ht="15.75" customHeight="1">
      <c r="A36" s="4">
        <v>23.0</v>
      </c>
      <c r="B36" s="22">
        <v>0.002085</v>
      </c>
      <c r="C36" s="4">
        <v>23.0</v>
      </c>
      <c r="D36" s="4">
        <v>2732.0</v>
      </c>
      <c r="E36" s="4">
        <v>2899.0</v>
      </c>
      <c r="F36" s="4">
        <v>2476.0</v>
      </c>
      <c r="G36" s="4">
        <v>1267.0</v>
      </c>
      <c r="H36" s="4">
        <v>781.0</v>
      </c>
      <c r="I36" s="4">
        <v>769.0</v>
      </c>
      <c r="J36" s="4">
        <v>102.0</v>
      </c>
      <c r="K36" s="4">
        <v>2374.0</v>
      </c>
      <c r="L36" s="4">
        <v>52.0</v>
      </c>
      <c r="M36" s="4">
        <v>1215.0</v>
      </c>
      <c r="N36" s="4">
        <v>0.0</v>
      </c>
      <c r="O36" s="4">
        <v>781.0</v>
      </c>
      <c r="Q36" s="4">
        <v>23.0</v>
      </c>
      <c r="R36" s="22">
        <v>0.00212</v>
      </c>
      <c r="S36" s="4">
        <v>14.0</v>
      </c>
      <c r="T36" s="4">
        <v>2732.0</v>
      </c>
      <c r="U36" s="4">
        <v>2899.0</v>
      </c>
      <c r="V36" s="4">
        <v>2476.0</v>
      </c>
      <c r="W36" s="4">
        <v>1267.0</v>
      </c>
      <c r="X36" s="4">
        <v>781.0</v>
      </c>
      <c r="Y36" s="4">
        <v>769.0</v>
      </c>
      <c r="Z36" s="4">
        <v>102.0</v>
      </c>
      <c r="AA36" s="4">
        <v>2374.0</v>
      </c>
      <c r="AB36" s="4">
        <v>52.0</v>
      </c>
      <c r="AC36" s="4">
        <v>1215.0</v>
      </c>
      <c r="AD36" s="4">
        <v>0.0</v>
      </c>
      <c r="AE36" s="4">
        <v>781.0</v>
      </c>
    </row>
    <row r="37" ht="15.75" customHeight="1">
      <c r="A37" s="9">
        <v>24.0</v>
      </c>
      <c r="B37" s="23">
        <v>0.002069</v>
      </c>
      <c r="C37" s="9">
        <v>23.0</v>
      </c>
      <c r="D37" s="9">
        <v>2723.0</v>
      </c>
      <c r="E37" s="9">
        <v>2856.0</v>
      </c>
      <c r="F37" s="9">
        <v>2419.0</v>
      </c>
      <c r="G37" s="9">
        <v>1244.0</v>
      </c>
      <c r="H37" s="9">
        <v>844.0</v>
      </c>
      <c r="I37" s="9">
        <v>829.0</v>
      </c>
      <c r="J37" s="9">
        <v>107.0</v>
      </c>
      <c r="K37" s="9">
        <v>2312.0</v>
      </c>
      <c r="L37" s="9">
        <v>44.0</v>
      </c>
      <c r="M37" s="9">
        <v>1200.0</v>
      </c>
      <c r="N37" s="9">
        <v>0.0</v>
      </c>
      <c r="O37" s="9">
        <v>844.0</v>
      </c>
      <c r="Q37" s="9">
        <v>24.0</v>
      </c>
      <c r="R37" s="23">
        <v>0.002116</v>
      </c>
      <c r="S37" s="9">
        <v>15.0</v>
      </c>
      <c r="T37" s="9">
        <v>2723.0</v>
      </c>
      <c r="U37" s="9">
        <v>2856.0</v>
      </c>
      <c r="V37" s="9">
        <v>2419.0</v>
      </c>
      <c r="W37" s="9">
        <v>1244.0</v>
      </c>
      <c r="X37" s="9">
        <v>844.0</v>
      </c>
      <c r="Y37" s="9">
        <v>829.0</v>
      </c>
      <c r="Z37" s="9">
        <v>107.0</v>
      </c>
      <c r="AA37" s="9">
        <v>2312.0</v>
      </c>
      <c r="AB37" s="9">
        <v>44.0</v>
      </c>
      <c r="AC37" s="9">
        <v>1200.0</v>
      </c>
      <c r="AD37" s="9">
        <v>0.0</v>
      </c>
      <c r="AE37" s="9">
        <v>844.0</v>
      </c>
    </row>
    <row r="38" ht="15.75" customHeight="1">
      <c r="A38" s="4">
        <v>25.0</v>
      </c>
      <c r="B38" s="22">
        <v>0.00208</v>
      </c>
      <c r="C38" s="4">
        <v>23.0</v>
      </c>
      <c r="D38" s="4">
        <v>2673.0</v>
      </c>
      <c r="E38" s="4">
        <v>2821.0</v>
      </c>
      <c r="F38" s="4">
        <v>2509.0</v>
      </c>
      <c r="G38" s="4">
        <v>1230.0</v>
      </c>
      <c r="H38" s="4">
        <v>801.0</v>
      </c>
      <c r="I38" s="4">
        <v>831.0</v>
      </c>
      <c r="J38" s="4">
        <v>103.0</v>
      </c>
      <c r="K38" s="4">
        <v>2406.0</v>
      </c>
      <c r="L38" s="4">
        <v>57.0</v>
      </c>
      <c r="M38" s="4">
        <v>1173.0</v>
      </c>
      <c r="N38" s="4">
        <v>0.0</v>
      </c>
      <c r="O38" s="4">
        <v>801.0</v>
      </c>
      <c r="Q38" s="4">
        <v>25.0</v>
      </c>
      <c r="R38" s="22">
        <v>0.002114</v>
      </c>
      <c r="S38" s="4">
        <v>15.0</v>
      </c>
      <c r="T38" s="4">
        <v>2673.0</v>
      </c>
      <c r="U38" s="4">
        <v>2821.0</v>
      </c>
      <c r="V38" s="4">
        <v>2509.0</v>
      </c>
      <c r="W38" s="4">
        <v>1230.0</v>
      </c>
      <c r="X38" s="4">
        <v>801.0</v>
      </c>
      <c r="Y38" s="4">
        <v>831.0</v>
      </c>
      <c r="Z38" s="4">
        <v>103.0</v>
      </c>
      <c r="AA38" s="4">
        <v>2406.0</v>
      </c>
      <c r="AB38" s="4">
        <v>57.0</v>
      </c>
      <c r="AC38" s="4">
        <v>1173.0</v>
      </c>
      <c r="AD38" s="4">
        <v>0.0</v>
      </c>
      <c r="AE38" s="4">
        <v>801.0</v>
      </c>
    </row>
    <row r="39" ht="15.75" customHeight="1">
      <c r="A39" s="9">
        <v>26.0</v>
      </c>
      <c r="B39" s="23">
        <v>0.002107</v>
      </c>
      <c r="C39" s="9">
        <v>24.0</v>
      </c>
      <c r="D39" s="9">
        <v>2683.0</v>
      </c>
      <c r="E39" s="9">
        <v>2840.0</v>
      </c>
      <c r="F39" s="9">
        <v>2504.0</v>
      </c>
      <c r="G39" s="9">
        <v>1199.0</v>
      </c>
      <c r="H39" s="9">
        <v>844.0</v>
      </c>
      <c r="I39" s="9">
        <v>805.0</v>
      </c>
      <c r="J39" s="9">
        <v>112.0</v>
      </c>
      <c r="K39" s="9">
        <v>2392.0</v>
      </c>
      <c r="L39" s="9">
        <v>57.0</v>
      </c>
      <c r="M39" s="9">
        <v>1142.0</v>
      </c>
      <c r="N39" s="9">
        <v>1.0</v>
      </c>
      <c r="O39" s="9">
        <v>843.0</v>
      </c>
      <c r="Q39" s="9">
        <v>26.0</v>
      </c>
      <c r="R39" s="23">
        <v>0.002113</v>
      </c>
      <c r="S39" s="9">
        <v>14.0</v>
      </c>
      <c r="T39" s="9">
        <v>2683.0</v>
      </c>
      <c r="U39" s="9">
        <v>2840.0</v>
      </c>
      <c r="V39" s="9">
        <v>2504.0</v>
      </c>
      <c r="W39" s="9">
        <v>1199.0</v>
      </c>
      <c r="X39" s="9">
        <v>844.0</v>
      </c>
      <c r="Y39" s="9">
        <v>805.0</v>
      </c>
      <c r="Z39" s="9">
        <v>112.0</v>
      </c>
      <c r="AA39" s="9">
        <v>2392.0</v>
      </c>
      <c r="AB39" s="9">
        <v>57.0</v>
      </c>
      <c r="AC39" s="9">
        <v>1142.0</v>
      </c>
      <c r="AD39" s="9">
        <v>1.0</v>
      </c>
      <c r="AE39" s="9">
        <v>843.0</v>
      </c>
    </row>
    <row r="40" ht="15.75" customHeight="1">
      <c r="A40" s="4">
        <v>27.0</v>
      </c>
      <c r="B40" s="22">
        <v>0.00213</v>
      </c>
      <c r="C40" s="4">
        <v>24.0</v>
      </c>
      <c r="D40" s="4">
        <v>2750.0</v>
      </c>
      <c r="E40" s="4">
        <v>2925.0</v>
      </c>
      <c r="F40" s="4">
        <v>2457.0</v>
      </c>
      <c r="G40" s="4">
        <v>1194.0</v>
      </c>
      <c r="H40" s="4">
        <v>821.0</v>
      </c>
      <c r="I40" s="4">
        <v>795.0</v>
      </c>
      <c r="J40" s="4">
        <v>108.0</v>
      </c>
      <c r="K40" s="4">
        <v>2349.0</v>
      </c>
      <c r="L40" s="4">
        <v>45.0</v>
      </c>
      <c r="M40" s="4">
        <v>1149.0</v>
      </c>
      <c r="N40" s="4">
        <v>0.0</v>
      </c>
      <c r="O40" s="4">
        <v>821.0</v>
      </c>
      <c r="Q40" s="4">
        <v>27.0</v>
      </c>
      <c r="R40" s="22">
        <v>0.002187</v>
      </c>
      <c r="S40" s="4">
        <v>14.0</v>
      </c>
      <c r="T40" s="4">
        <v>2750.0</v>
      </c>
      <c r="U40" s="4">
        <v>2925.0</v>
      </c>
      <c r="V40" s="4">
        <v>2457.0</v>
      </c>
      <c r="W40" s="4">
        <v>1194.0</v>
      </c>
      <c r="X40" s="4">
        <v>821.0</v>
      </c>
      <c r="Y40" s="4">
        <v>795.0</v>
      </c>
      <c r="Z40" s="4">
        <v>108.0</v>
      </c>
      <c r="AA40" s="4">
        <v>2349.0</v>
      </c>
      <c r="AB40" s="4">
        <v>45.0</v>
      </c>
      <c r="AC40" s="4">
        <v>1149.0</v>
      </c>
      <c r="AD40" s="4">
        <v>0.0</v>
      </c>
      <c r="AE40" s="4">
        <v>821.0</v>
      </c>
    </row>
    <row r="41" ht="15.75" customHeight="1">
      <c r="A41" s="9">
        <v>28.0</v>
      </c>
      <c r="B41" s="23">
        <v>0.002149</v>
      </c>
      <c r="C41" s="9">
        <v>22.0</v>
      </c>
      <c r="D41" s="9">
        <v>2699.0</v>
      </c>
      <c r="E41" s="9">
        <v>2847.0</v>
      </c>
      <c r="F41" s="9">
        <v>2475.0</v>
      </c>
      <c r="G41" s="9">
        <v>1249.0</v>
      </c>
      <c r="H41" s="9">
        <v>773.0</v>
      </c>
      <c r="I41" s="9">
        <v>848.0</v>
      </c>
      <c r="J41" s="9">
        <v>116.0</v>
      </c>
      <c r="K41" s="9">
        <v>2359.0</v>
      </c>
      <c r="L41" s="9">
        <v>49.0</v>
      </c>
      <c r="M41" s="9">
        <v>1200.0</v>
      </c>
      <c r="N41" s="9">
        <v>0.0</v>
      </c>
      <c r="O41" s="9">
        <v>773.0</v>
      </c>
      <c r="Q41" s="9">
        <v>28.0</v>
      </c>
      <c r="R41" s="23">
        <v>0.002114</v>
      </c>
      <c r="S41" s="9">
        <v>15.0</v>
      </c>
      <c r="T41" s="9">
        <v>2699.0</v>
      </c>
      <c r="U41" s="9">
        <v>2847.0</v>
      </c>
      <c r="V41" s="9">
        <v>2475.0</v>
      </c>
      <c r="W41" s="9">
        <v>1249.0</v>
      </c>
      <c r="X41" s="9">
        <v>773.0</v>
      </c>
      <c r="Y41" s="9">
        <v>848.0</v>
      </c>
      <c r="Z41" s="9">
        <v>116.0</v>
      </c>
      <c r="AA41" s="9">
        <v>2359.0</v>
      </c>
      <c r="AB41" s="9">
        <v>49.0</v>
      </c>
      <c r="AC41" s="9">
        <v>1200.0</v>
      </c>
      <c r="AD41" s="9">
        <v>0.0</v>
      </c>
      <c r="AE41" s="9">
        <v>773.0</v>
      </c>
    </row>
    <row r="42" ht="15.75" customHeight="1">
      <c r="A42" s="4">
        <v>29.0</v>
      </c>
      <c r="B42" s="22">
        <v>0.002015</v>
      </c>
      <c r="C42" s="4">
        <v>23.0</v>
      </c>
      <c r="D42" s="4">
        <v>2646.0</v>
      </c>
      <c r="E42" s="4">
        <v>2798.0</v>
      </c>
      <c r="F42" s="4">
        <v>2531.0</v>
      </c>
      <c r="G42" s="4">
        <v>1204.0</v>
      </c>
      <c r="H42" s="4">
        <v>827.0</v>
      </c>
      <c r="I42" s="4">
        <v>832.0</v>
      </c>
      <c r="J42" s="4">
        <v>105.0</v>
      </c>
      <c r="K42" s="4">
        <v>2426.0</v>
      </c>
      <c r="L42" s="4">
        <v>53.0</v>
      </c>
      <c r="M42" s="4">
        <v>1151.0</v>
      </c>
      <c r="N42" s="4">
        <v>0.0</v>
      </c>
      <c r="O42" s="4">
        <v>827.0</v>
      </c>
      <c r="Q42" s="4">
        <v>29.0</v>
      </c>
      <c r="R42" s="22">
        <v>0.002022</v>
      </c>
      <c r="S42" s="4">
        <v>15.0</v>
      </c>
      <c r="T42" s="4">
        <v>2646.0</v>
      </c>
      <c r="U42" s="4">
        <v>2798.0</v>
      </c>
      <c r="V42" s="4">
        <v>2531.0</v>
      </c>
      <c r="W42" s="4">
        <v>1204.0</v>
      </c>
      <c r="X42" s="4">
        <v>827.0</v>
      </c>
      <c r="Y42" s="4">
        <v>832.0</v>
      </c>
      <c r="Z42" s="4">
        <v>105.0</v>
      </c>
      <c r="AA42" s="4">
        <v>2426.0</v>
      </c>
      <c r="AB42" s="4">
        <v>53.0</v>
      </c>
      <c r="AC42" s="4">
        <v>1151.0</v>
      </c>
      <c r="AD42" s="4">
        <v>0.0</v>
      </c>
      <c r="AE42" s="4">
        <v>827.0</v>
      </c>
    </row>
    <row r="43" ht="15.75" customHeight="1">
      <c r="A43" s="9">
        <v>30.0</v>
      </c>
      <c r="B43" s="23">
        <v>0.002073</v>
      </c>
      <c r="C43" s="9">
        <v>24.0</v>
      </c>
      <c r="D43" s="9">
        <v>2766.0</v>
      </c>
      <c r="E43" s="9">
        <v>2903.0</v>
      </c>
      <c r="F43" s="9">
        <v>2457.0</v>
      </c>
      <c r="G43" s="9">
        <v>1193.0</v>
      </c>
      <c r="H43" s="9">
        <v>835.0</v>
      </c>
      <c r="I43" s="9">
        <v>804.0</v>
      </c>
      <c r="J43" s="9">
        <v>114.0</v>
      </c>
      <c r="K43" s="9">
        <v>2343.0</v>
      </c>
      <c r="L43" s="9">
        <v>41.0</v>
      </c>
      <c r="M43" s="9">
        <v>1152.0</v>
      </c>
      <c r="N43" s="9">
        <v>0.0</v>
      </c>
      <c r="O43" s="9">
        <v>835.0</v>
      </c>
      <c r="Q43" s="9">
        <v>30.0</v>
      </c>
      <c r="R43" s="23">
        <v>0.00207</v>
      </c>
      <c r="S43" s="9">
        <v>14.0</v>
      </c>
      <c r="T43" s="9">
        <v>2766.0</v>
      </c>
      <c r="U43" s="9">
        <v>2903.0</v>
      </c>
      <c r="V43" s="9">
        <v>2457.0</v>
      </c>
      <c r="W43" s="9">
        <v>1193.0</v>
      </c>
      <c r="X43" s="9">
        <v>835.0</v>
      </c>
      <c r="Y43" s="9">
        <v>804.0</v>
      </c>
      <c r="Z43" s="9">
        <v>114.0</v>
      </c>
      <c r="AA43" s="9">
        <v>2343.0</v>
      </c>
      <c r="AB43" s="9">
        <v>41.0</v>
      </c>
      <c r="AC43" s="9">
        <v>1152.0</v>
      </c>
      <c r="AD43" s="9">
        <v>0.0</v>
      </c>
      <c r="AE43" s="9">
        <v>835.0</v>
      </c>
    </row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1.71"/>
    <col customWidth="1" min="2" max="2" width="14.71"/>
    <col customWidth="1" min="3" max="15" width="11.71"/>
    <col customWidth="1" min="16" max="16" width="3.71"/>
    <col customWidth="1" min="17" max="17" width="11.71"/>
    <col customWidth="1" min="18" max="18" width="14.71"/>
    <col customWidth="1" min="19" max="31" width="11.71"/>
    <col customWidth="1" min="32" max="48" width="8.71"/>
  </cols>
  <sheetData>
    <row r="1">
      <c r="A1" s="1" t="s">
        <v>66</v>
      </c>
    </row>
    <row r="3">
      <c r="B3" s="2" t="s">
        <v>39</v>
      </c>
    </row>
    <row r="4">
      <c r="B4" s="3" t="s">
        <v>40</v>
      </c>
      <c r="C4" s="3" t="s">
        <v>6</v>
      </c>
      <c r="D4" s="3" t="s">
        <v>7</v>
      </c>
    </row>
    <row r="5">
      <c r="B5" s="18" t="s">
        <v>41</v>
      </c>
      <c r="C5" s="5">
        <f>MIN(B14:B43)</f>
        <v>0.002672</v>
      </c>
      <c r="D5" s="5">
        <f>MIN(R14:R43)</f>
        <v>0.002592</v>
      </c>
    </row>
    <row r="6">
      <c r="B6" s="18" t="s">
        <v>42</v>
      </c>
      <c r="C6" s="5">
        <f>MAX(B14:B43)</f>
        <v>0.010346</v>
      </c>
      <c r="D6" s="5">
        <f>MAX(R14:R43)</f>
        <v>0.010112</v>
      </c>
    </row>
    <row r="7">
      <c r="B7" s="18" t="s">
        <v>43</v>
      </c>
      <c r="C7" s="5">
        <f>AVERAGE(B14:B43)</f>
        <v>0.005096833333</v>
      </c>
      <c r="D7" s="5">
        <f>AVERAGE(R14:R43)</f>
        <v>0.004567866667</v>
      </c>
    </row>
    <row r="8">
      <c r="B8" s="18" t="s">
        <v>44</v>
      </c>
      <c r="C8" s="5">
        <f>_xlfn.STDEV.S(B14:B43)</f>
        <v>0.002374197042</v>
      </c>
      <c r="D8" s="5">
        <f>_xlfn.STDEV.S(R14:R43)</f>
        <v>0.002023896715</v>
      </c>
    </row>
    <row r="9">
      <c r="B9" s="18" t="s">
        <v>45</v>
      </c>
      <c r="C9" s="6">
        <f t="shared" ref="C9:D9" si="1">C7/C6</f>
        <v>0.4926380566</v>
      </c>
      <c r="D9" s="6">
        <f t="shared" si="1"/>
        <v>0.4517273207</v>
      </c>
    </row>
    <row r="10">
      <c r="B10" s="18" t="s">
        <v>46</v>
      </c>
      <c r="C10" s="6">
        <f>AVERAGE(C14:C43)</f>
        <v>27.8</v>
      </c>
      <c r="D10" s="6">
        <f>AVERAGE(S14:S43)</f>
        <v>16.03333333</v>
      </c>
    </row>
    <row r="11">
      <c r="B11" s="18" t="s">
        <v>47</v>
      </c>
      <c r="C11" s="19">
        <f>MAX(C14:C43)</f>
        <v>31</v>
      </c>
      <c r="D11" s="19">
        <f>MAX(S14:S43)</f>
        <v>17</v>
      </c>
    </row>
    <row r="12">
      <c r="A12" s="2" t="s">
        <v>48</v>
      </c>
      <c r="Q12" s="2" t="s">
        <v>49</v>
      </c>
    </row>
    <row r="13">
      <c r="A13" s="20" t="s">
        <v>50</v>
      </c>
      <c r="B13" s="20" t="s">
        <v>51</v>
      </c>
      <c r="C13" s="20" t="s">
        <v>52</v>
      </c>
      <c r="D13" s="20" t="s">
        <v>53</v>
      </c>
      <c r="E13" s="20" t="s">
        <v>54</v>
      </c>
      <c r="F13" s="20" t="s">
        <v>55</v>
      </c>
      <c r="G13" s="20" t="s">
        <v>56</v>
      </c>
      <c r="H13" s="20" t="s">
        <v>57</v>
      </c>
      <c r="I13" s="20" t="s">
        <v>58</v>
      </c>
      <c r="J13" s="20" t="s">
        <v>59</v>
      </c>
      <c r="K13" s="20" t="s">
        <v>60</v>
      </c>
      <c r="L13" s="20" t="s">
        <v>61</v>
      </c>
      <c r="M13" s="20" t="s">
        <v>62</v>
      </c>
      <c r="N13" s="20" t="s">
        <v>63</v>
      </c>
      <c r="O13" s="20" t="s">
        <v>64</v>
      </c>
      <c r="Q13" s="21" t="s">
        <v>50</v>
      </c>
      <c r="R13" s="21" t="s">
        <v>51</v>
      </c>
      <c r="S13" s="21" t="s">
        <v>52</v>
      </c>
      <c r="T13" s="21" t="s">
        <v>53</v>
      </c>
      <c r="U13" s="21" t="s">
        <v>54</v>
      </c>
      <c r="V13" s="21" t="s">
        <v>55</v>
      </c>
      <c r="W13" s="21" t="s">
        <v>56</v>
      </c>
      <c r="X13" s="21" t="s">
        <v>57</v>
      </c>
      <c r="Y13" s="21" t="s">
        <v>58</v>
      </c>
      <c r="Z13" s="21" t="s">
        <v>59</v>
      </c>
      <c r="AA13" s="21" t="s">
        <v>60</v>
      </c>
      <c r="AB13" s="21" t="s">
        <v>61</v>
      </c>
      <c r="AC13" s="21" t="s">
        <v>62</v>
      </c>
      <c r="AD13" s="21" t="s">
        <v>63</v>
      </c>
      <c r="AE13" s="21" t="s">
        <v>64</v>
      </c>
    </row>
    <row r="14">
      <c r="A14" s="4">
        <v>1.0</v>
      </c>
      <c r="B14" s="22">
        <v>0.007275</v>
      </c>
      <c r="C14" s="4">
        <v>31.0</v>
      </c>
      <c r="D14" s="4">
        <v>5393.0</v>
      </c>
      <c r="E14" s="4">
        <v>5702.0</v>
      </c>
      <c r="F14" s="4">
        <v>4929.0</v>
      </c>
      <c r="G14" s="4">
        <v>2449.0</v>
      </c>
      <c r="H14" s="4">
        <v>1656.0</v>
      </c>
      <c r="I14" s="4">
        <v>1648.0</v>
      </c>
      <c r="J14" s="4">
        <v>213.0</v>
      </c>
      <c r="K14" s="4">
        <v>4716.0</v>
      </c>
      <c r="L14" s="4">
        <v>105.0</v>
      </c>
      <c r="M14" s="4">
        <v>2344.0</v>
      </c>
      <c r="N14" s="4">
        <v>0.0</v>
      </c>
      <c r="O14" s="4">
        <v>1656.0</v>
      </c>
      <c r="Q14" s="4">
        <v>1.0</v>
      </c>
      <c r="R14" s="22">
        <v>0.004831</v>
      </c>
      <c r="S14" s="4">
        <v>16.0</v>
      </c>
      <c r="T14" s="4">
        <v>5393.0</v>
      </c>
      <c r="U14" s="4">
        <v>5702.0</v>
      </c>
      <c r="V14" s="4">
        <v>4929.0</v>
      </c>
      <c r="W14" s="4">
        <v>2449.0</v>
      </c>
      <c r="X14" s="4">
        <v>1656.0</v>
      </c>
      <c r="Y14" s="4">
        <v>1648.0</v>
      </c>
      <c r="Z14" s="4">
        <v>213.0</v>
      </c>
      <c r="AA14" s="4">
        <v>4716.0</v>
      </c>
      <c r="AB14" s="4">
        <v>105.0</v>
      </c>
      <c r="AC14" s="4">
        <v>2344.0</v>
      </c>
      <c r="AD14" s="4">
        <v>0.0</v>
      </c>
      <c r="AE14" s="4">
        <v>1656.0</v>
      </c>
    </row>
    <row r="15">
      <c r="A15" s="9">
        <v>2.0</v>
      </c>
      <c r="B15" s="23">
        <v>0.004362</v>
      </c>
      <c r="C15" s="9">
        <v>31.0</v>
      </c>
      <c r="D15" s="9">
        <v>5440.0</v>
      </c>
      <c r="E15" s="9">
        <v>5753.0</v>
      </c>
      <c r="F15" s="9">
        <v>4810.0</v>
      </c>
      <c r="G15" s="9">
        <v>2540.0</v>
      </c>
      <c r="H15" s="9">
        <v>1600.0</v>
      </c>
      <c r="I15" s="9">
        <v>1681.0</v>
      </c>
      <c r="J15" s="9">
        <v>220.0</v>
      </c>
      <c r="K15" s="9">
        <v>4590.0</v>
      </c>
      <c r="L15" s="9">
        <v>97.0</v>
      </c>
      <c r="M15" s="9">
        <v>2443.0</v>
      </c>
      <c r="N15" s="9">
        <v>1.0</v>
      </c>
      <c r="O15" s="9">
        <v>1599.0</v>
      </c>
      <c r="Q15" s="9">
        <v>2.0</v>
      </c>
      <c r="R15" s="23">
        <v>0.004336</v>
      </c>
      <c r="S15" s="9">
        <v>16.0</v>
      </c>
      <c r="T15" s="9">
        <v>5440.0</v>
      </c>
      <c r="U15" s="9">
        <v>5753.0</v>
      </c>
      <c r="V15" s="9">
        <v>4810.0</v>
      </c>
      <c r="W15" s="9">
        <v>2540.0</v>
      </c>
      <c r="X15" s="9">
        <v>1600.0</v>
      </c>
      <c r="Y15" s="9">
        <v>1681.0</v>
      </c>
      <c r="Z15" s="9">
        <v>220.0</v>
      </c>
      <c r="AA15" s="9">
        <v>4590.0</v>
      </c>
      <c r="AB15" s="9">
        <v>97.0</v>
      </c>
      <c r="AC15" s="9">
        <v>2443.0</v>
      </c>
      <c r="AD15" s="9">
        <v>1.0</v>
      </c>
      <c r="AE15" s="9">
        <v>1599.0</v>
      </c>
    </row>
    <row r="16">
      <c r="A16" s="4">
        <v>3.0</v>
      </c>
      <c r="B16" s="22">
        <v>0.0048</v>
      </c>
      <c r="C16" s="4">
        <v>29.0</v>
      </c>
      <c r="D16" s="4">
        <v>5448.0</v>
      </c>
      <c r="E16" s="4">
        <v>5764.0</v>
      </c>
      <c r="F16" s="4">
        <v>4866.0</v>
      </c>
      <c r="G16" s="4">
        <v>2374.0</v>
      </c>
      <c r="H16" s="4">
        <v>1685.0</v>
      </c>
      <c r="I16" s="4">
        <v>1695.0</v>
      </c>
      <c r="J16" s="4">
        <v>201.0</v>
      </c>
      <c r="K16" s="4">
        <v>4665.0</v>
      </c>
      <c r="L16" s="4">
        <v>98.0</v>
      </c>
      <c r="M16" s="4">
        <v>2276.0</v>
      </c>
      <c r="N16" s="4">
        <v>0.0</v>
      </c>
      <c r="O16" s="4">
        <v>1685.0</v>
      </c>
      <c r="Q16" s="4">
        <v>3.0</v>
      </c>
      <c r="R16" s="22">
        <v>0.004214</v>
      </c>
      <c r="S16" s="4">
        <v>16.0</v>
      </c>
      <c r="T16" s="4">
        <v>5448.0</v>
      </c>
      <c r="U16" s="4">
        <v>5764.0</v>
      </c>
      <c r="V16" s="4">
        <v>4866.0</v>
      </c>
      <c r="W16" s="4">
        <v>2374.0</v>
      </c>
      <c r="X16" s="4">
        <v>1685.0</v>
      </c>
      <c r="Y16" s="4">
        <v>1695.0</v>
      </c>
      <c r="Z16" s="4">
        <v>201.0</v>
      </c>
      <c r="AA16" s="4">
        <v>4665.0</v>
      </c>
      <c r="AB16" s="4">
        <v>98.0</v>
      </c>
      <c r="AC16" s="4">
        <v>2276.0</v>
      </c>
      <c r="AD16" s="4">
        <v>0.0</v>
      </c>
      <c r="AE16" s="4">
        <v>1685.0</v>
      </c>
    </row>
    <row r="17">
      <c r="A17" s="9">
        <v>4.0</v>
      </c>
      <c r="B17" s="23">
        <v>0.010346</v>
      </c>
      <c r="C17" s="9">
        <v>27.0</v>
      </c>
      <c r="D17" s="9">
        <v>5405.0</v>
      </c>
      <c r="E17" s="9">
        <v>5705.0</v>
      </c>
      <c r="F17" s="9">
        <v>4878.0</v>
      </c>
      <c r="G17" s="9">
        <v>2491.0</v>
      </c>
      <c r="H17" s="9">
        <v>1631.0</v>
      </c>
      <c r="I17" s="9">
        <v>1679.0</v>
      </c>
      <c r="J17" s="9">
        <v>183.0</v>
      </c>
      <c r="K17" s="9">
        <v>4695.0</v>
      </c>
      <c r="L17" s="9">
        <v>93.0</v>
      </c>
      <c r="M17" s="9">
        <v>2398.0</v>
      </c>
      <c r="N17" s="9">
        <v>0.0</v>
      </c>
      <c r="O17" s="9">
        <v>1631.0</v>
      </c>
      <c r="Q17" s="9">
        <v>4.0</v>
      </c>
      <c r="R17" s="23">
        <v>0.004088</v>
      </c>
      <c r="S17" s="9">
        <v>16.0</v>
      </c>
      <c r="T17" s="9">
        <v>5405.0</v>
      </c>
      <c r="U17" s="9">
        <v>5705.0</v>
      </c>
      <c r="V17" s="9">
        <v>4878.0</v>
      </c>
      <c r="W17" s="9">
        <v>2491.0</v>
      </c>
      <c r="X17" s="9">
        <v>1631.0</v>
      </c>
      <c r="Y17" s="9">
        <v>1679.0</v>
      </c>
      <c r="Z17" s="9">
        <v>183.0</v>
      </c>
      <c r="AA17" s="9">
        <v>4695.0</v>
      </c>
      <c r="AB17" s="9">
        <v>93.0</v>
      </c>
      <c r="AC17" s="9">
        <v>2398.0</v>
      </c>
      <c r="AD17" s="9">
        <v>0.0</v>
      </c>
      <c r="AE17" s="9">
        <v>1631.0</v>
      </c>
    </row>
    <row r="18">
      <c r="A18" s="4">
        <v>5.0</v>
      </c>
      <c r="B18" s="22">
        <v>0.01025</v>
      </c>
      <c r="C18" s="4">
        <v>29.0</v>
      </c>
      <c r="D18" s="4">
        <v>5334.0</v>
      </c>
      <c r="E18" s="4">
        <v>5609.0</v>
      </c>
      <c r="F18" s="4">
        <v>4965.0</v>
      </c>
      <c r="G18" s="4">
        <v>2484.0</v>
      </c>
      <c r="H18" s="4">
        <v>1653.0</v>
      </c>
      <c r="I18" s="4">
        <v>1673.0</v>
      </c>
      <c r="J18" s="4">
        <v>216.0</v>
      </c>
      <c r="K18" s="4">
        <v>4749.0</v>
      </c>
      <c r="L18" s="4">
        <v>92.0</v>
      </c>
      <c r="M18" s="4">
        <v>2392.0</v>
      </c>
      <c r="N18" s="4">
        <v>0.0</v>
      </c>
      <c r="O18" s="4">
        <v>1653.0</v>
      </c>
      <c r="Q18" s="4">
        <v>5.0</v>
      </c>
      <c r="R18" s="22">
        <v>0.009748</v>
      </c>
      <c r="S18" s="4">
        <v>17.0</v>
      </c>
      <c r="T18" s="4">
        <v>5334.0</v>
      </c>
      <c r="U18" s="4">
        <v>5609.0</v>
      </c>
      <c r="V18" s="4">
        <v>4965.0</v>
      </c>
      <c r="W18" s="4">
        <v>2484.0</v>
      </c>
      <c r="X18" s="4">
        <v>1653.0</v>
      </c>
      <c r="Y18" s="4">
        <v>1673.0</v>
      </c>
      <c r="Z18" s="4">
        <v>216.0</v>
      </c>
      <c r="AA18" s="4">
        <v>4749.0</v>
      </c>
      <c r="AB18" s="4">
        <v>92.0</v>
      </c>
      <c r="AC18" s="4">
        <v>2392.0</v>
      </c>
      <c r="AD18" s="4">
        <v>0.0</v>
      </c>
      <c r="AE18" s="4">
        <v>1653.0</v>
      </c>
    </row>
    <row r="19">
      <c r="A19" s="9">
        <v>6.0</v>
      </c>
      <c r="B19" s="23">
        <v>0.009535</v>
      </c>
      <c r="C19" s="9">
        <v>28.0</v>
      </c>
      <c r="D19" s="9">
        <v>5430.0</v>
      </c>
      <c r="E19" s="9">
        <v>5737.0</v>
      </c>
      <c r="F19" s="9">
        <v>4948.0</v>
      </c>
      <c r="G19" s="9">
        <v>2411.0</v>
      </c>
      <c r="H19" s="9">
        <v>1635.0</v>
      </c>
      <c r="I19" s="9">
        <v>1653.0</v>
      </c>
      <c r="J19" s="9">
        <v>216.0</v>
      </c>
      <c r="K19" s="9">
        <v>4732.0</v>
      </c>
      <c r="L19" s="9">
        <v>94.0</v>
      </c>
      <c r="M19" s="9">
        <v>2317.0</v>
      </c>
      <c r="N19" s="9">
        <v>1.0</v>
      </c>
      <c r="O19" s="9">
        <v>1634.0</v>
      </c>
      <c r="Q19" s="9">
        <v>6.0</v>
      </c>
      <c r="R19" s="23">
        <v>0.010112</v>
      </c>
      <c r="S19" s="9">
        <v>16.0</v>
      </c>
      <c r="T19" s="9">
        <v>5430.0</v>
      </c>
      <c r="U19" s="9">
        <v>5737.0</v>
      </c>
      <c r="V19" s="9">
        <v>4948.0</v>
      </c>
      <c r="W19" s="9">
        <v>2411.0</v>
      </c>
      <c r="X19" s="9">
        <v>1635.0</v>
      </c>
      <c r="Y19" s="9">
        <v>1653.0</v>
      </c>
      <c r="Z19" s="9">
        <v>216.0</v>
      </c>
      <c r="AA19" s="9">
        <v>4732.0</v>
      </c>
      <c r="AB19" s="9">
        <v>94.0</v>
      </c>
      <c r="AC19" s="9">
        <v>2317.0</v>
      </c>
      <c r="AD19" s="9">
        <v>1.0</v>
      </c>
      <c r="AE19" s="9">
        <v>1634.0</v>
      </c>
    </row>
    <row r="20">
      <c r="A20" s="4">
        <v>7.0</v>
      </c>
      <c r="B20" s="22">
        <v>0.009938</v>
      </c>
      <c r="C20" s="4">
        <v>26.0</v>
      </c>
      <c r="D20" s="4">
        <v>5561.0</v>
      </c>
      <c r="E20" s="4">
        <v>5861.0</v>
      </c>
      <c r="F20" s="4">
        <v>4799.0</v>
      </c>
      <c r="G20" s="4">
        <v>2436.0</v>
      </c>
      <c r="H20" s="4">
        <v>1636.0</v>
      </c>
      <c r="I20" s="4">
        <v>1652.0</v>
      </c>
      <c r="J20" s="4">
        <v>200.0</v>
      </c>
      <c r="K20" s="4">
        <v>4599.0</v>
      </c>
      <c r="L20" s="4">
        <v>78.0</v>
      </c>
      <c r="M20" s="4">
        <v>2358.0</v>
      </c>
      <c r="N20" s="4">
        <v>1.0</v>
      </c>
      <c r="O20" s="4">
        <v>1635.0</v>
      </c>
      <c r="Q20" s="4">
        <v>7.0</v>
      </c>
      <c r="R20" s="22">
        <v>0.00961</v>
      </c>
      <c r="S20" s="4">
        <v>15.0</v>
      </c>
      <c r="T20" s="4">
        <v>5561.0</v>
      </c>
      <c r="U20" s="4">
        <v>5861.0</v>
      </c>
      <c r="V20" s="4">
        <v>4799.0</v>
      </c>
      <c r="W20" s="4">
        <v>2436.0</v>
      </c>
      <c r="X20" s="4">
        <v>1636.0</v>
      </c>
      <c r="Y20" s="4">
        <v>1652.0</v>
      </c>
      <c r="Z20" s="4">
        <v>200.0</v>
      </c>
      <c r="AA20" s="4">
        <v>4599.0</v>
      </c>
      <c r="AB20" s="4">
        <v>78.0</v>
      </c>
      <c r="AC20" s="4">
        <v>2358.0</v>
      </c>
      <c r="AD20" s="4">
        <v>1.0</v>
      </c>
      <c r="AE20" s="4">
        <v>1635.0</v>
      </c>
    </row>
    <row r="21" ht="15.75" customHeight="1">
      <c r="A21" s="9">
        <v>8.0</v>
      </c>
      <c r="B21" s="23">
        <v>0.009793</v>
      </c>
      <c r="C21" s="9">
        <v>29.0</v>
      </c>
      <c r="D21" s="9">
        <v>5503.0</v>
      </c>
      <c r="E21" s="9">
        <v>5793.0</v>
      </c>
      <c r="F21" s="9">
        <v>4846.0</v>
      </c>
      <c r="G21" s="9">
        <v>2431.0</v>
      </c>
      <c r="H21" s="9">
        <v>1638.0</v>
      </c>
      <c r="I21" s="9">
        <v>1676.0</v>
      </c>
      <c r="J21" s="9">
        <v>217.0</v>
      </c>
      <c r="K21" s="9">
        <v>4629.0</v>
      </c>
      <c r="L21" s="9">
        <v>89.0</v>
      </c>
      <c r="M21" s="9">
        <v>2342.0</v>
      </c>
      <c r="N21" s="9">
        <v>1.0</v>
      </c>
      <c r="O21" s="9">
        <v>1637.0</v>
      </c>
      <c r="Q21" s="9">
        <v>8.0</v>
      </c>
      <c r="R21" s="23">
        <v>0.007914</v>
      </c>
      <c r="S21" s="9">
        <v>16.0</v>
      </c>
      <c r="T21" s="9">
        <v>5503.0</v>
      </c>
      <c r="U21" s="9">
        <v>5793.0</v>
      </c>
      <c r="V21" s="9">
        <v>4846.0</v>
      </c>
      <c r="W21" s="9">
        <v>2431.0</v>
      </c>
      <c r="X21" s="9">
        <v>1638.0</v>
      </c>
      <c r="Y21" s="9">
        <v>1676.0</v>
      </c>
      <c r="Z21" s="9">
        <v>217.0</v>
      </c>
      <c r="AA21" s="9">
        <v>4629.0</v>
      </c>
      <c r="AB21" s="9">
        <v>89.0</v>
      </c>
      <c r="AC21" s="9">
        <v>2342.0</v>
      </c>
      <c r="AD21" s="9">
        <v>1.0</v>
      </c>
      <c r="AE21" s="9">
        <v>1637.0</v>
      </c>
    </row>
    <row r="22" ht="15.75" customHeight="1">
      <c r="A22" s="4">
        <v>9.0</v>
      </c>
      <c r="B22" s="22">
        <v>0.004771</v>
      </c>
      <c r="C22" s="4">
        <v>27.0</v>
      </c>
      <c r="D22" s="4">
        <v>5454.0</v>
      </c>
      <c r="E22" s="4">
        <v>5736.0</v>
      </c>
      <c r="F22" s="4">
        <v>4904.0</v>
      </c>
      <c r="G22" s="4">
        <v>2494.0</v>
      </c>
      <c r="H22" s="4">
        <v>1662.0</v>
      </c>
      <c r="I22" s="4">
        <v>1588.0</v>
      </c>
      <c r="J22" s="4">
        <v>221.0</v>
      </c>
      <c r="K22" s="4">
        <v>4683.0</v>
      </c>
      <c r="L22" s="4">
        <v>90.0</v>
      </c>
      <c r="M22" s="4">
        <v>2404.0</v>
      </c>
      <c r="N22" s="4">
        <v>0.0</v>
      </c>
      <c r="O22" s="4">
        <v>1662.0</v>
      </c>
      <c r="Q22" s="4">
        <v>9.0</v>
      </c>
      <c r="R22" s="22">
        <v>0.004294</v>
      </c>
      <c r="S22" s="4">
        <v>16.0</v>
      </c>
      <c r="T22" s="4">
        <v>5454.0</v>
      </c>
      <c r="U22" s="4">
        <v>5736.0</v>
      </c>
      <c r="V22" s="4">
        <v>4904.0</v>
      </c>
      <c r="W22" s="4">
        <v>2494.0</v>
      </c>
      <c r="X22" s="4">
        <v>1662.0</v>
      </c>
      <c r="Y22" s="4">
        <v>1588.0</v>
      </c>
      <c r="Z22" s="4">
        <v>221.0</v>
      </c>
      <c r="AA22" s="4">
        <v>4683.0</v>
      </c>
      <c r="AB22" s="4">
        <v>90.0</v>
      </c>
      <c r="AC22" s="4">
        <v>2404.0</v>
      </c>
      <c r="AD22" s="4">
        <v>0.0</v>
      </c>
      <c r="AE22" s="4">
        <v>1662.0</v>
      </c>
    </row>
    <row r="23" ht="15.75" customHeight="1">
      <c r="A23" s="9">
        <v>10.0</v>
      </c>
      <c r="B23" s="23">
        <v>0.004339</v>
      </c>
      <c r="C23" s="9">
        <v>25.0</v>
      </c>
      <c r="D23" s="9">
        <v>5447.0</v>
      </c>
      <c r="E23" s="9">
        <v>5767.0</v>
      </c>
      <c r="F23" s="9">
        <v>4888.0</v>
      </c>
      <c r="G23" s="9">
        <v>2473.0</v>
      </c>
      <c r="H23" s="9">
        <v>1696.0</v>
      </c>
      <c r="I23" s="9">
        <v>1560.0</v>
      </c>
      <c r="J23" s="9">
        <v>207.0</v>
      </c>
      <c r="K23" s="9">
        <v>4681.0</v>
      </c>
      <c r="L23" s="9">
        <v>98.0</v>
      </c>
      <c r="M23" s="9">
        <v>2375.0</v>
      </c>
      <c r="N23" s="9">
        <v>0.0</v>
      </c>
      <c r="O23" s="9">
        <v>1696.0</v>
      </c>
      <c r="Q23" s="9">
        <v>10.0</v>
      </c>
      <c r="R23" s="23">
        <v>0.004203</v>
      </c>
      <c r="S23" s="9">
        <v>16.0</v>
      </c>
      <c r="T23" s="9">
        <v>5447.0</v>
      </c>
      <c r="U23" s="9">
        <v>5767.0</v>
      </c>
      <c r="V23" s="9">
        <v>4888.0</v>
      </c>
      <c r="W23" s="9">
        <v>2473.0</v>
      </c>
      <c r="X23" s="9">
        <v>1696.0</v>
      </c>
      <c r="Y23" s="9">
        <v>1560.0</v>
      </c>
      <c r="Z23" s="9">
        <v>207.0</v>
      </c>
      <c r="AA23" s="9">
        <v>4681.0</v>
      </c>
      <c r="AB23" s="9">
        <v>98.0</v>
      </c>
      <c r="AC23" s="9">
        <v>2375.0</v>
      </c>
      <c r="AD23" s="9">
        <v>0.0</v>
      </c>
      <c r="AE23" s="9">
        <v>1696.0</v>
      </c>
    </row>
    <row r="24" ht="15.75" customHeight="1">
      <c r="A24" s="4">
        <v>11.0</v>
      </c>
      <c r="B24" s="22">
        <v>0.004207</v>
      </c>
      <c r="C24" s="4">
        <v>25.0</v>
      </c>
      <c r="D24" s="4">
        <v>5444.0</v>
      </c>
      <c r="E24" s="4">
        <v>5753.0</v>
      </c>
      <c r="F24" s="4">
        <v>4954.0</v>
      </c>
      <c r="G24" s="4">
        <v>2499.0</v>
      </c>
      <c r="H24" s="4">
        <v>1620.0</v>
      </c>
      <c r="I24" s="4">
        <v>1558.0</v>
      </c>
      <c r="J24" s="4">
        <v>211.0</v>
      </c>
      <c r="K24" s="4">
        <v>4743.0</v>
      </c>
      <c r="L24" s="4">
        <v>92.0</v>
      </c>
      <c r="M24" s="4">
        <v>2407.0</v>
      </c>
      <c r="N24" s="4">
        <v>0.0</v>
      </c>
      <c r="O24" s="4">
        <v>1620.0</v>
      </c>
      <c r="Q24" s="4">
        <v>11.0</v>
      </c>
      <c r="R24" s="22">
        <v>0.004271</v>
      </c>
      <c r="S24" s="4">
        <v>15.0</v>
      </c>
      <c r="T24" s="4">
        <v>5444.0</v>
      </c>
      <c r="U24" s="4">
        <v>5753.0</v>
      </c>
      <c r="V24" s="4">
        <v>4954.0</v>
      </c>
      <c r="W24" s="4">
        <v>2499.0</v>
      </c>
      <c r="X24" s="4">
        <v>1620.0</v>
      </c>
      <c r="Y24" s="4">
        <v>1558.0</v>
      </c>
      <c r="Z24" s="4">
        <v>211.0</v>
      </c>
      <c r="AA24" s="4">
        <v>4743.0</v>
      </c>
      <c r="AB24" s="4">
        <v>92.0</v>
      </c>
      <c r="AC24" s="4">
        <v>2407.0</v>
      </c>
      <c r="AD24" s="4">
        <v>0.0</v>
      </c>
      <c r="AE24" s="4">
        <v>1620.0</v>
      </c>
    </row>
    <row r="25" ht="15.75" customHeight="1">
      <c r="A25" s="9">
        <v>12.0</v>
      </c>
      <c r="B25" s="23">
        <v>0.004672</v>
      </c>
      <c r="C25" s="9">
        <v>30.0</v>
      </c>
      <c r="D25" s="9">
        <v>5404.0</v>
      </c>
      <c r="E25" s="9">
        <v>5696.0</v>
      </c>
      <c r="F25" s="9">
        <v>4880.0</v>
      </c>
      <c r="G25" s="9">
        <v>2503.0</v>
      </c>
      <c r="H25" s="9">
        <v>1640.0</v>
      </c>
      <c r="I25" s="9">
        <v>1665.0</v>
      </c>
      <c r="J25" s="9">
        <v>219.0</v>
      </c>
      <c r="K25" s="9">
        <v>4661.0</v>
      </c>
      <c r="L25" s="9">
        <v>98.0</v>
      </c>
      <c r="M25" s="9">
        <v>2405.0</v>
      </c>
      <c r="N25" s="9">
        <v>1.0</v>
      </c>
      <c r="O25" s="9">
        <v>1639.0</v>
      </c>
      <c r="Q25" s="9">
        <v>12.0</v>
      </c>
      <c r="R25" s="23">
        <v>0.004331</v>
      </c>
      <c r="S25" s="9">
        <v>16.0</v>
      </c>
      <c r="T25" s="9">
        <v>5404.0</v>
      </c>
      <c r="U25" s="9">
        <v>5696.0</v>
      </c>
      <c r="V25" s="9">
        <v>4880.0</v>
      </c>
      <c r="W25" s="9">
        <v>2503.0</v>
      </c>
      <c r="X25" s="9">
        <v>1640.0</v>
      </c>
      <c r="Y25" s="9">
        <v>1665.0</v>
      </c>
      <c r="Z25" s="9">
        <v>219.0</v>
      </c>
      <c r="AA25" s="9">
        <v>4661.0</v>
      </c>
      <c r="AB25" s="9">
        <v>98.0</v>
      </c>
      <c r="AC25" s="9">
        <v>2405.0</v>
      </c>
      <c r="AD25" s="9">
        <v>1.0</v>
      </c>
      <c r="AE25" s="9">
        <v>1639.0</v>
      </c>
    </row>
    <row r="26" ht="15.75" customHeight="1">
      <c r="A26" s="4">
        <v>13.0</v>
      </c>
      <c r="B26" s="22">
        <v>0.004615</v>
      </c>
      <c r="C26" s="4">
        <v>29.0</v>
      </c>
      <c r="D26" s="4">
        <v>5427.0</v>
      </c>
      <c r="E26" s="4">
        <v>5718.0</v>
      </c>
      <c r="F26" s="4">
        <v>4921.0</v>
      </c>
      <c r="G26" s="4">
        <v>2469.0</v>
      </c>
      <c r="H26" s="4">
        <v>1619.0</v>
      </c>
      <c r="I26" s="4">
        <v>1657.0</v>
      </c>
      <c r="J26" s="4">
        <v>234.0</v>
      </c>
      <c r="K26" s="4">
        <v>4687.0</v>
      </c>
      <c r="L26" s="4">
        <v>82.0</v>
      </c>
      <c r="M26" s="4">
        <v>2387.0</v>
      </c>
      <c r="N26" s="4">
        <v>0.0</v>
      </c>
      <c r="O26" s="4">
        <v>1619.0</v>
      </c>
      <c r="Q26" s="4">
        <v>13.0</v>
      </c>
      <c r="R26" s="22">
        <v>0.004289</v>
      </c>
      <c r="S26" s="4">
        <v>16.0</v>
      </c>
      <c r="T26" s="4">
        <v>5427.0</v>
      </c>
      <c r="U26" s="4">
        <v>5718.0</v>
      </c>
      <c r="V26" s="4">
        <v>4921.0</v>
      </c>
      <c r="W26" s="4">
        <v>2469.0</v>
      </c>
      <c r="X26" s="4">
        <v>1619.0</v>
      </c>
      <c r="Y26" s="4">
        <v>1657.0</v>
      </c>
      <c r="Z26" s="4">
        <v>234.0</v>
      </c>
      <c r="AA26" s="4">
        <v>4687.0</v>
      </c>
      <c r="AB26" s="4">
        <v>82.0</v>
      </c>
      <c r="AC26" s="4">
        <v>2387.0</v>
      </c>
      <c r="AD26" s="4">
        <v>0.0</v>
      </c>
      <c r="AE26" s="4">
        <v>1619.0</v>
      </c>
    </row>
    <row r="27" ht="15.75" customHeight="1">
      <c r="A27" s="9">
        <v>14.0</v>
      </c>
      <c r="B27" s="23">
        <v>0.004138</v>
      </c>
      <c r="C27" s="9">
        <v>27.0</v>
      </c>
      <c r="D27" s="9">
        <v>5471.0</v>
      </c>
      <c r="E27" s="9">
        <v>5756.0</v>
      </c>
      <c r="F27" s="9">
        <v>4957.0</v>
      </c>
      <c r="G27" s="9">
        <v>2384.0</v>
      </c>
      <c r="H27" s="9">
        <v>1698.0</v>
      </c>
      <c r="I27" s="9">
        <v>1589.0</v>
      </c>
      <c r="J27" s="9">
        <v>207.0</v>
      </c>
      <c r="K27" s="9">
        <v>4750.0</v>
      </c>
      <c r="L27" s="9">
        <v>96.0</v>
      </c>
      <c r="M27" s="9">
        <v>2288.0</v>
      </c>
      <c r="N27" s="9">
        <v>2.0</v>
      </c>
      <c r="O27" s="9">
        <v>1696.0</v>
      </c>
      <c r="Q27" s="9">
        <v>14.0</v>
      </c>
      <c r="R27" s="23">
        <v>0.004608</v>
      </c>
      <c r="S27" s="9">
        <v>16.0</v>
      </c>
      <c r="T27" s="9">
        <v>5471.0</v>
      </c>
      <c r="U27" s="9">
        <v>5756.0</v>
      </c>
      <c r="V27" s="9">
        <v>4957.0</v>
      </c>
      <c r="W27" s="9">
        <v>2384.0</v>
      </c>
      <c r="X27" s="9">
        <v>1698.0</v>
      </c>
      <c r="Y27" s="9">
        <v>1589.0</v>
      </c>
      <c r="Z27" s="9">
        <v>207.0</v>
      </c>
      <c r="AA27" s="9">
        <v>4750.0</v>
      </c>
      <c r="AB27" s="9">
        <v>96.0</v>
      </c>
      <c r="AC27" s="9">
        <v>2288.0</v>
      </c>
      <c r="AD27" s="9">
        <v>2.0</v>
      </c>
      <c r="AE27" s="9">
        <v>1696.0</v>
      </c>
    </row>
    <row r="28" ht="15.75" customHeight="1">
      <c r="A28" s="4">
        <v>15.0</v>
      </c>
      <c r="B28" s="22">
        <v>0.004571</v>
      </c>
      <c r="C28" s="4">
        <v>30.0</v>
      </c>
      <c r="D28" s="4">
        <v>5313.0</v>
      </c>
      <c r="E28" s="4">
        <v>5611.0</v>
      </c>
      <c r="F28" s="4">
        <v>4975.0</v>
      </c>
      <c r="G28" s="4">
        <v>2503.0</v>
      </c>
      <c r="H28" s="4">
        <v>1620.0</v>
      </c>
      <c r="I28" s="4">
        <v>1675.0</v>
      </c>
      <c r="J28" s="4">
        <v>219.0</v>
      </c>
      <c r="K28" s="4">
        <v>4756.0</v>
      </c>
      <c r="L28" s="4">
        <v>92.0</v>
      </c>
      <c r="M28" s="4">
        <v>2411.0</v>
      </c>
      <c r="N28" s="4">
        <v>0.0</v>
      </c>
      <c r="O28" s="4">
        <v>1620.0</v>
      </c>
      <c r="Q28" s="4">
        <v>15.0</v>
      </c>
      <c r="R28" s="22">
        <v>0.004275</v>
      </c>
      <c r="S28" s="4">
        <v>16.0</v>
      </c>
      <c r="T28" s="4">
        <v>5313.0</v>
      </c>
      <c r="U28" s="4">
        <v>5611.0</v>
      </c>
      <c r="V28" s="4">
        <v>4975.0</v>
      </c>
      <c r="W28" s="4">
        <v>2503.0</v>
      </c>
      <c r="X28" s="4">
        <v>1620.0</v>
      </c>
      <c r="Y28" s="4">
        <v>1675.0</v>
      </c>
      <c r="Z28" s="4">
        <v>219.0</v>
      </c>
      <c r="AA28" s="4">
        <v>4756.0</v>
      </c>
      <c r="AB28" s="4">
        <v>92.0</v>
      </c>
      <c r="AC28" s="4">
        <v>2411.0</v>
      </c>
      <c r="AD28" s="4">
        <v>0.0</v>
      </c>
      <c r="AE28" s="4">
        <v>1620.0</v>
      </c>
    </row>
    <row r="29" ht="15.75" customHeight="1">
      <c r="A29" s="9">
        <v>16.0</v>
      </c>
      <c r="B29" s="23">
        <v>0.004188</v>
      </c>
      <c r="C29" s="9">
        <v>27.0</v>
      </c>
      <c r="D29" s="9">
        <v>5461.0</v>
      </c>
      <c r="E29" s="9">
        <v>5793.0</v>
      </c>
      <c r="F29" s="9">
        <v>4925.0</v>
      </c>
      <c r="G29" s="9">
        <v>2417.0</v>
      </c>
      <c r="H29" s="9">
        <v>1629.0</v>
      </c>
      <c r="I29" s="9">
        <v>1620.0</v>
      </c>
      <c r="J29" s="9">
        <v>240.0</v>
      </c>
      <c r="K29" s="9">
        <v>4685.0</v>
      </c>
      <c r="L29" s="9">
        <v>95.0</v>
      </c>
      <c r="M29" s="9">
        <v>2322.0</v>
      </c>
      <c r="N29" s="9">
        <v>0.0</v>
      </c>
      <c r="O29" s="9">
        <v>1629.0</v>
      </c>
      <c r="Q29" s="9">
        <v>16.0</v>
      </c>
      <c r="R29" s="23">
        <v>0.004393</v>
      </c>
      <c r="S29" s="9">
        <v>16.0</v>
      </c>
      <c r="T29" s="9">
        <v>5461.0</v>
      </c>
      <c r="U29" s="9">
        <v>5793.0</v>
      </c>
      <c r="V29" s="9">
        <v>4925.0</v>
      </c>
      <c r="W29" s="9">
        <v>2417.0</v>
      </c>
      <c r="X29" s="9">
        <v>1629.0</v>
      </c>
      <c r="Y29" s="9">
        <v>1620.0</v>
      </c>
      <c r="Z29" s="9">
        <v>240.0</v>
      </c>
      <c r="AA29" s="9">
        <v>4685.0</v>
      </c>
      <c r="AB29" s="9">
        <v>95.0</v>
      </c>
      <c r="AC29" s="9">
        <v>2322.0</v>
      </c>
      <c r="AD29" s="9">
        <v>0.0</v>
      </c>
      <c r="AE29" s="9">
        <v>1629.0</v>
      </c>
    </row>
    <row r="30" ht="15.75" customHeight="1">
      <c r="A30" s="4">
        <v>17.0</v>
      </c>
      <c r="B30" s="22">
        <v>0.004191</v>
      </c>
      <c r="C30" s="4">
        <v>28.0</v>
      </c>
      <c r="D30" s="4">
        <v>5419.0</v>
      </c>
      <c r="E30" s="4">
        <v>5727.0</v>
      </c>
      <c r="F30" s="4">
        <v>4950.0</v>
      </c>
      <c r="G30" s="4">
        <v>2438.0</v>
      </c>
      <c r="H30" s="4">
        <v>1607.0</v>
      </c>
      <c r="I30" s="4">
        <v>1662.0</v>
      </c>
      <c r="J30" s="4">
        <v>202.0</v>
      </c>
      <c r="K30" s="4">
        <v>4748.0</v>
      </c>
      <c r="L30" s="4">
        <v>94.0</v>
      </c>
      <c r="M30" s="4">
        <v>2344.0</v>
      </c>
      <c r="N30" s="4">
        <v>1.0</v>
      </c>
      <c r="O30" s="4">
        <v>1606.0</v>
      </c>
      <c r="Q30" s="4">
        <v>17.0</v>
      </c>
      <c r="R30" s="22">
        <v>0.003919</v>
      </c>
      <c r="S30" s="4">
        <v>16.0</v>
      </c>
      <c r="T30" s="4">
        <v>5419.0</v>
      </c>
      <c r="U30" s="4">
        <v>5727.0</v>
      </c>
      <c r="V30" s="4">
        <v>4950.0</v>
      </c>
      <c r="W30" s="4">
        <v>2438.0</v>
      </c>
      <c r="X30" s="4">
        <v>1607.0</v>
      </c>
      <c r="Y30" s="4">
        <v>1662.0</v>
      </c>
      <c r="Z30" s="4">
        <v>202.0</v>
      </c>
      <c r="AA30" s="4">
        <v>4748.0</v>
      </c>
      <c r="AB30" s="4">
        <v>94.0</v>
      </c>
      <c r="AC30" s="4">
        <v>2344.0</v>
      </c>
      <c r="AD30" s="4">
        <v>1.0</v>
      </c>
      <c r="AE30" s="4">
        <v>1606.0</v>
      </c>
    </row>
    <row r="31" ht="15.75" customHeight="1">
      <c r="A31" s="9">
        <v>18.0</v>
      </c>
      <c r="B31" s="23">
        <v>0.004234</v>
      </c>
      <c r="C31" s="9">
        <v>29.0</v>
      </c>
      <c r="D31" s="9">
        <v>5456.0</v>
      </c>
      <c r="E31" s="9">
        <v>5795.0</v>
      </c>
      <c r="F31" s="9">
        <v>4973.0</v>
      </c>
      <c r="G31" s="9">
        <v>2470.0</v>
      </c>
      <c r="H31" s="9">
        <v>1581.0</v>
      </c>
      <c r="I31" s="9">
        <v>1565.0</v>
      </c>
      <c r="J31" s="9">
        <v>204.0</v>
      </c>
      <c r="K31" s="9">
        <v>4769.0</v>
      </c>
      <c r="L31" s="9">
        <v>99.0</v>
      </c>
      <c r="M31" s="9">
        <v>2371.0</v>
      </c>
      <c r="N31" s="9">
        <v>0.0</v>
      </c>
      <c r="O31" s="9">
        <v>1581.0</v>
      </c>
      <c r="Q31" s="9">
        <v>18.0</v>
      </c>
      <c r="R31" s="23">
        <v>0.003753</v>
      </c>
      <c r="S31" s="9">
        <v>17.0</v>
      </c>
      <c r="T31" s="9">
        <v>5456.0</v>
      </c>
      <c r="U31" s="9">
        <v>5795.0</v>
      </c>
      <c r="V31" s="9">
        <v>4973.0</v>
      </c>
      <c r="W31" s="9">
        <v>2470.0</v>
      </c>
      <c r="X31" s="9">
        <v>1581.0</v>
      </c>
      <c r="Y31" s="9">
        <v>1565.0</v>
      </c>
      <c r="Z31" s="9">
        <v>204.0</v>
      </c>
      <c r="AA31" s="9">
        <v>4769.0</v>
      </c>
      <c r="AB31" s="9">
        <v>99.0</v>
      </c>
      <c r="AC31" s="9">
        <v>2371.0</v>
      </c>
      <c r="AD31" s="9">
        <v>0.0</v>
      </c>
      <c r="AE31" s="9">
        <v>1581.0</v>
      </c>
    </row>
    <row r="32" ht="15.75" customHeight="1">
      <c r="A32" s="4">
        <v>19.0</v>
      </c>
      <c r="B32" s="22">
        <v>0.003904</v>
      </c>
      <c r="C32" s="4">
        <v>28.0</v>
      </c>
      <c r="D32" s="4">
        <v>5449.0</v>
      </c>
      <c r="E32" s="4">
        <v>5762.0</v>
      </c>
      <c r="F32" s="4">
        <v>4824.0</v>
      </c>
      <c r="G32" s="4">
        <v>2421.0</v>
      </c>
      <c r="H32" s="4">
        <v>1662.0</v>
      </c>
      <c r="I32" s="4">
        <v>1715.0</v>
      </c>
      <c r="J32" s="4">
        <v>205.0</v>
      </c>
      <c r="K32" s="4">
        <v>4619.0</v>
      </c>
      <c r="L32" s="4">
        <v>99.0</v>
      </c>
      <c r="M32" s="4">
        <v>2322.0</v>
      </c>
      <c r="N32" s="4">
        <v>0.0</v>
      </c>
      <c r="O32" s="4">
        <v>1662.0</v>
      </c>
      <c r="Q32" s="4">
        <v>19.0</v>
      </c>
      <c r="R32" s="22">
        <v>0.003934</v>
      </c>
      <c r="S32" s="4">
        <v>16.0</v>
      </c>
      <c r="T32" s="4">
        <v>5449.0</v>
      </c>
      <c r="U32" s="4">
        <v>5762.0</v>
      </c>
      <c r="V32" s="4">
        <v>4824.0</v>
      </c>
      <c r="W32" s="4">
        <v>2421.0</v>
      </c>
      <c r="X32" s="4">
        <v>1662.0</v>
      </c>
      <c r="Y32" s="4">
        <v>1715.0</v>
      </c>
      <c r="Z32" s="4">
        <v>205.0</v>
      </c>
      <c r="AA32" s="4">
        <v>4619.0</v>
      </c>
      <c r="AB32" s="4">
        <v>99.0</v>
      </c>
      <c r="AC32" s="4">
        <v>2322.0</v>
      </c>
      <c r="AD32" s="4">
        <v>0.0</v>
      </c>
      <c r="AE32" s="4">
        <v>1662.0</v>
      </c>
    </row>
    <row r="33" ht="15.75" customHeight="1">
      <c r="A33" s="9">
        <v>20.0</v>
      </c>
      <c r="B33" s="23">
        <v>0.004223</v>
      </c>
      <c r="C33" s="9">
        <v>27.0</v>
      </c>
      <c r="D33" s="9">
        <v>5358.0</v>
      </c>
      <c r="E33" s="9">
        <v>5663.0</v>
      </c>
      <c r="F33" s="9">
        <v>4866.0</v>
      </c>
      <c r="G33" s="9">
        <v>2495.0</v>
      </c>
      <c r="H33" s="9">
        <v>1652.0</v>
      </c>
      <c r="I33" s="9">
        <v>1708.0</v>
      </c>
      <c r="J33" s="9">
        <v>212.0</v>
      </c>
      <c r="K33" s="9">
        <v>4654.0</v>
      </c>
      <c r="L33" s="9">
        <v>86.0</v>
      </c>
      <c r="M33" s="9">
        <v>2409.0</v>
      </c>
      <c r="N33" s="9">
        <v>1.0</v>
      </c>
      <c r="O33" s="9">
        <v>1651.0</v>
      </c>
      <c r="Q33" s="9">
        <v>20.0</v>
      </c>
      <c r="R33" s="23">
        <v>0.003907</v>
      </c>
      <c r="S33" s="9">
        <v>16.0</v>
      </c>
      <c r="T33" s="9">
        <v>5358.0</v>
      </c>
      <c r="U33" s="9">
        <v>5663.0</v>
      </c>
      <c r="V33" s="9">
        <v>4866.0</v>
      </c>
      <c r="W33" s="9">
        <v>2495.0</v>
      </c>
      <c r="X33" s="9">
        <v>1652.0</v>
      </c>
      <c r="Y33" s="9">
        <v>1708.0</v>
      </c>
      <c r="Z33" s="9">
        <v>212.0</v>
      </c>
      <c r="AA33" s="9">
        <v>4654.0</v>
      </c>
      <c r="AB33" s="9">
        <v>86.0</v>
      </c>
      <c r="AC33" s="9">
        <v>2409.0</v>
      </c>
      <c r="AD33" s="9">
        <v>1.0</v>
      </c>
      <c r="AE33" s="9">
        <v>1651.0</v>
      </c>
    </row>
    <row r="34" ht="15.75" customHeight="1">
      <c r="A34" s="4">
        <v>21.0</v>
      </c>
      <c r="B34" s="22">
        <v>0.004055</v>
      </c>
      <c r="C34" s="4">
        <v>31.0</v>
      </c>
      <c r="D34" s="4">
        <v>5499.0</v>
      </c>
      <c r="E34" s="4">
        <v>5814.0</v>
      </c>
      <c r="F34" s="4">
        <v>4845.0</v>
      </c>
      <c r="G34" s="4">
        <v>2469.0</v>
      </c>
      <c r="H34" s="4">
        <v>1605.0</v>
      </c>
      <c r="I34" s="4">
        <v>1651.0</v>
      </c>
      <c r="J34" s="4">
        <v>203.0</v>
      </c>
      <c r="K34" s="4">
        <v>4642.0</v>
      </c>
      <c r="L34" s="4">
        <v>97.0</v>
      </c>
      <c r="M34" s="4">
        <v>2372.0</v>
      </c>
      <c r="N34" s="4">
        <v>0.0</v>
      </c>
      <c r="O34" s="4">
        <v>1605.0</v>
      </c>
      <c r="Q34" s="4">
        <v>21.0</v>
      </c>
      <c r="R34" s="22">
        <v>0.00388</v>
      </c>
      <c r="S34" s="4">
        <v>16.0</v>
      </c>
      <c r="T34" s="4">
        <v>5499.0</v>
      </c>
      <c r="U34" s="4">
        <v>5814.0</v>
      </c>
      <c r="V34" s="4">
        <v>4845.0</v>
      </c>
      <c r="W34" s="4">
        <v>2469.0</v>
      </c>
      <c r="X34" s="4">
        <v>1605.0</v>
      </c>
      <c r="Y34" s="4">
        <v>1651.0</v>
      </c>
      <c r="Z34" s="4">
        <v>203.0</v>
      </c>
      <c r="AA34" s="4">
        <v>4642.0</v>
      </c>
      <c r="AB34" s="4">
        <v>97.0</v>
      </c>
      <c r="AC34" s="4">
        <v>2372.0</v>
      </c>
      <c r="AD34" s="4">
        <v>0.0</v>
      </c>
      <c r="AE34" s="4">
        <v>1605.0</v>
      </c>
    </row>
    <row r="35" ht="15.75" customHeight="1">
      <c r="A35" s="9">
        <v>22.0</v>
      </c>
      <c r="B35" s="23">
        <v>0.003989</v>
      </c>
      <c r="C35" s="9">
        <v>27.0</v>
      </c>
      <c r="D35" s="9">
        <v>5369.0</v>
      </c>
      <c r="E35" s="9">
        <v>5686.0</v>
      </c>
      <c r="F35" s="9">
        <v>4996.0</v>
      </c>
      <c r="G35" s="9">
        <v>2451.0</v>
      </c>
      <c r="H35" s="9">
        <v>1634.0</v>
      </c>
      <c r="I35" s="9">
        <v>1617.0</v>
      </c>
      <c r="J35" s="9">
        <v>214.0</v>
      </c>
      <c r="K35" s="9">
        <v>4782.0</v>
      </c>
      <c r="L35" s="9">
        <v>107.0</v>
      </c>
      <c r="M35" s="9">
        <v>2344.0</v>
      </c>
      <c r="N35" s="9">
        <v>1.0</v>
      </c>
      <c r="O35" s="9">
        <v>1633.0</v>
      </c>
      <c r="Q35" s="9">
        <v>22.0</v>
      </c>
      <c r="R35" s="23">
        <v>0.003675</v>
      </c>
      <c r="S35" s="9">
        <v>16.0</v>
      </c>
      <c r="T35" s="9">
        <v>5369.0</v>
      </c>
      <c r="U35" s="9">
        <v>5686.0</v>
      </c>
      <c r="V35" s="9">
        <v>4996.0</v>
      </c>
      <c r="W35" s="9">
        <v>2451.0</v>
      </c>
      <c r="X35" s="9">
        <v>1634.0</v>
      </c>
      <c r="Y35" s="9">
        <v>1617.0</v>
      </c>
      <c r="Z35" s="9">
        <v>214.0</v>
      </c>
      <c r="AA35" s="9">
        <v>4782.0</v>
      </c>
      <c r="AB35" s="9">
        <v>107.0</v>
      </c>
      <c r="AC35" s="9">
        <v>2344.0</v>
      </c>
      <c r="AD35" s="9">
        <v>1.0</v>
      </c>
      <c r="AE35" s="9">
        <v>1633.0</v>
      </c>
    </row>
    <row r="36" ht="15.75" customHeight="1">
      <c r="A36" s="4">
        <v>23.0</v>
      </c>
      <c r="B36" s="22">
        <v>0.004063</v>
      </c>
      <c r="C36" s="4">
        <v>30.0</v>
      </c>
      <c r="D36" s="4">
        <v>5403.0</v>
      </c>
      <c r="E36" s="4">
        <v>5702.0</v>
      </c>
      <c r="F36" s="4">
        <v>4901.0</v>
      </c>
      <c r="G36" s="4">
        <v>2418.0</v>
      </c>
      <c r="H36" s="4">
        <v>1724.0</v>
      </c>
      <c r="I36" s="4">
        <v>1639.0</v>
      </c>
      <c r="J36" s="4">
        <v>208.0</v>
      </c>
      <c r="K36" s="4">
        <v>4693.0</v>
      </c>
      <c r="L36" s="4">
        <v>91.0</v>
      </c>
      <c r="M36" s="4">
        <v>2327.0</v>
      </c>
      <c r="N36" s="4">
        <v>1.0</v>
      </c>
      <c r="O36" s="4">
        <v>1723.0</v>
      </c>
      <c r="Q36" s="4">
        <v>23.0</v>
      </c>
      <c r="R36" s="22">
        <v>0.003873</v>
      </c>
      <c r="S36" s="4">
        <v>17.0</v>
      </c>
      <c r="T36" s="4">
        <v>5403.0</v>
      </c>
      <c r="U36" s="4">
        <v>5702.0</v>
      </c>
      <c r="V36" s="4">
        <v>4901.0</v>
      </c>
      <c r="W36" s="4">
        <v>2418.0</v>
      </c>
      <c r="X36" s="4">
        <v>1724.0</v>
      </c>
      <c r="Y36" s="4">
        <v>1639.0</v>
      </c>
      <c r="Z36" s="4">
        <v>208.0</v>
      </c>
      <c r="AA36" s="4">
        <v>4693.0</v>
      </c>
      <c r="AB36" s="4">
        <v>91.0</v>
      </c>
      <c r="AC36" s="4">
        <v>2327.0</v>
      </c>
      <c r="AD36" s="4">
        <v>1.0</v>
      </c>
      <c r="AE36" s="4">
        <v>1723.0</v>
      </c>
    </row>
    <row r="37" ht="15.75" customHeight="1">
      <c r="A37" s="9">
        <v>24.0</v>
      </c>
      <c r="B37" s="23">
        <v>0.003575</v>
      </c>
      <c r="C37" s="9">
        <v>25.0</v>
      </c>
      <c r="D37" s="9">
        <v>5306.0</v>
      </c>
      <c r="E37" s="9">
        <v>5609.0</v>
      </c>
      <c r="F37" s="9">
        <v>5016.0</v>
      </c>
      <c r="G37" s="9">
        <v>2496.0</v>
      </c>
      <c r="H37" s="9">
        <v>1658.0</v>
      </c>
      <c r="I37" s="9">
        <v>1605.0</v>
      </c>
      <c r="J37" s="9">
        <v>190.0</v>
      </c>
      <c r="K37" s="9">
        <v>4826.0</v>
      </c>
      <c r="L37" s="9">
        <v>104.0</v>
      </c>
      <c r="M37" s="9">
        <v>2392.0</v>
      </c>
      <c r="N37" s="9">
        <v>0.0</v>
      </c>
      <c r="O37" s="9">
        <v>1658.0</v>
      </c>
      <c r="Q37" s="9">
        <v>24.0</v>
      </c>
      <c r="R37" s="23">
        <v>0.002859</v>
      </c>
      <c r="S37" s="9">
        <v>16.0</v>
      </c>
      <c r="T37" s="9">
        <v>5306.0</v>
      </c>
      <c r="U37" s="9">
        <v>5609.0</v>
      </c>
      <c r="V37" s="9">
        <v>5016.0</v>
      </c>
      <c r="W37" s="9">
        <v>2496.0</v>
      </c>
      <c r="X37" s="9">
        <v>1658.0</v>
      </c>
      <c r="Y37" s="9">
        <v>1605.0</v>
      </c>
      <c r="Z37" s="9">
        <v>190.0</v>
      </c>
      <c r="AA37" s="9">
        <v>4826.0</v>
      </c>
      <c r="AB37" s="9">
        <v>104.0</v>
      </c>
      <c r="AC37" s="9">
        <v>2392.0</v>
      </c>
      <c r="AD37" s="9">
        <v>0.0</v>
      </c>
      <c r="AE37" s="9">
        <v>1658.0</v>
      </c>
    </row>
    <row r="38" ht="15.75" customHeight="1">
      <c r="A38" s="4">
        <v>25.0</v>
      </c>
      <c r="B38" s="22">
        <v>0.004285</v>
      </c>
      <c r="C38" s="4">
        <v>28.0</v>
      </c>
      <c r="D38" s="4">
        <v>5436.0</v>
      </c>
      <c r="E38" s="4">
        <v>5751.0</v>
      </c>
      <c r="F38" s="4">
        <v>4891.0</v>
      </c>
      <c r="G38" s="4">
        <v>2469.0</v>
      </c>
      <c r="H38" s="4">
        <v>1605.0</v>
      </c>
      <c r="I38" s="4">
        <v>1668.0</v>
      </c>
      <c r="J38" s="4">
        <v>217.0</v>
      </c>
      <c r="K38" s="4">
        <v>4674.0</v>
      </c>
      <c r="L38" s="4">
        <v>112.0</v>
      </c>
      <c r="M38" s="4">
        <v>2357.0</v>
      </c>
      <c r="N38" s="4">
        <v>0.0</v>
      </c>
      <c r="O38" s="4">
        <v>1605.0</v>
      </c>
      <c r="Q38" s="4">
        <v>25.0</v>
      </c>
      <c r="R38" s="22">
        <v>0.003956</v>
      </c>
      <c r="S38" s="4">
        <v>16.0</v>
      </c>
      <c r="T38" s="4">
        <v>5436.0</v>
      </c>
      <c r="U38" s="4">
        <v>5751.0</v>
      </c>
      <c r="V38" s="4">
        <v>4891.0</v>
      </c>
      <c r="W38" s="4">
        <v>2469.0</v>
      </c>
      <c r="X38" s="4">
        <v>1605.0</v>
      </c>
      <c r="Y38" s="4">
        <v>1668.0</v>
      </c>
      <c r="Z38" s="4">
        <v>217.0</v>
      </c>
      <c r="AA38" s="4">
        <v>4674.0</v>
      </c>
      <c r="AB38" s="4">
        <v>112.0</v>
      </c>
      <c r="AC38" s="4">
        <v>2357.0</v>
      </c>
      <c r="AD38" s="4">
        <v>0.0</v>
      </c>
      <c r="AE38" s="4">
        <v>1605.0</v>
      </c>
    </row>
    <row r="39" ht="15.75" customHeight="1">
      <c r="A39" s="9">
        <v>26.0</v>
      </c>
      <c r="B39" s="23">
        <v>0.003824</v>
      </c>
      <c r="C39" s="9">
        <v>24.0</v>
      </c>
      <c r="D39" s="9">
        <v>5344.0</v>
      </c>
      <c r="E39" s="9">
        <v>5624.0</v>
      </c>
      <c r="F39" s="9">
        <v>4904.0</v>
      </c>
      <c r="G39" s="9">
        <v>2520.0</v>
      </c>
      <c r="H39" s="9">
        <v>1626.0</v>
      </c>
      <c r="I39" s="9">
        <v>1710.0</v>
      </c>
      <c r="J39" s="9">
        <v>236.0</v>
      </c>
      <c r="K39" s="9">
        <v>4668.0</v>
      </c>
      <c r="L39" s="9">
        <v>79.0</v>
      </c>
      <c r="M39" s="9">
        <v>2441.0</v>
      </c>
      <c r="N39" s="9">
        <v>1.0</v>
      </c>
      <c r="O39" s="9">
        <v>1625.0</v>
      </c>
      <c r="Q39" s="9">
        <v>26.0</v>
      </c>
      <c r="R39" s="23">
        <v>0.003052</v>
      </c>
      <c r="S39" s="9">
        <v>16.0</v>
      </c>
      <c r="T39" s="9">
        <v>5344.0</v>
      </c>
      <c r="U39" s="9">
        <v>5624.0</v>
      </c>
      <c r="V39" s="9">
        <v>4904.0</v>
      </c>
      <c r="W39" s="9">
        <v>2520.0</v>
      </c>
      <c r="X39" s="9">
        <v>1626.0</v>
      </c>
      <c r="Y39" s="9">
        <v>1710.0</v>
      </c>
      <c r="Z39" s="9">
        <v>236.0</v>
      </c>
      <c r="AA39" s="9">
        <v>4668.0</v>
      </c>
      <c r="AB39" s="9">
        <v>79.0</v>
      </c>
      <c r="AC39" s="9">
        <v>2441.0</v>
      </c>
      <c r="AD39" s="9">
        <v>1.0</v>
      </c>
      <c r="AE39" s="9">
        <v>1625.0</v>
      </c>
    </row>
    <row r="40" ht="15.75" customHeight="1">
      <c r="A40" s="4">
        <v>27.0</v>
      </c>
      <c r="B40" s="22">
        <v>0.002718</v>
      </c>
      <c r="C40" s="4">
        <v>25.0</v>
      </c>
      <c r="D40" s="4">
        <v>5445.0</v>
      </c>
      <c r="E40" s="4">
        <v>5766.0</v>
      </c>
      <c r="F40" s="4">
        <v>4936.0</v>
      </c>
      <c r="G40" s="4">
        <v>2509.0</v>
      </c>
      <c r="H40" s="4">
        <v>1604.0</v>
      </c>
      <c r="I40" s="4">
        <v>1569.0</v>
      </c>
      <c r="J40" s="4">
        <v>219.0</v>
      </c>
      <c r="K40" s="4">
        <v>4717.0</v>
      </c>
      <c r="L40" s="4">
        <v>91.0</v>
      </c>
      <c r="M40" s="4">
        <v>2418.0</v>
      </c>
      <c r="N40" s="4">
        <v>3.0</v>
      </c>
      <c r="O40" s="4">
        <v>1601.0</v>
      </c>
      <c r="Q40" s="4">
        <v>27.0</v>
      </c>
      <c r="R40" s="22">
        <v>0.002695</v>
      </c>
      <c r="S40" s="4">
        <v>16.0</v>
      </c>
      <c r="T40" s="4">
        <v>5445.0</v>
      </c>
      <c r="U40" s="4">
        <v>5766.0</v>
      </c>
      <c r="V40" s="4">
        <v>4936.0</v>
      </c>
      <c r="W40" s="4">
        <v>2509.0</v>
      </c>
      <c r="X40" s="4">
        <v>1604.0</v>
      </c>
      <c r="Y40" s="4">
        <v>1569.0</v>
      </c>
      <c r="Z40" s="4">
        <v>219.0</v>
      </c>
      <c r="AA40" s="4">
        <v>4717.0</v>
      </c>
      <c r="AB40" s="4">
        <v>91.0</v>
      </c>
      <c r="AC40" s="4">
        <v>2418.0</v>
      </c>
      <c r="AD40" s="4">
        <v>3.0</v>
      </c>
      <c r="AE40" s="4">
        <v>1601.0</v>
      </c>
    </row>
    <row r="41" ht="15.75" customHeight="1">
      <c r="A41" s="9">
        <v>28.0</v>
      </c>
      <c r="B41" s="23">
        <v>0.002677</v>
      </c>
      <c r="C41" s="9">
        <v>26.0</v>
      </c>
      <c r="D41" s="9">
        <v>5446.0</v>
      </c>
      <c r="E41" s="9">
        <v>5757.0</v>
      </c>
      <c r="F41" s="9">
        <v>4932.0</v>
      </c>
      <c r="G41" s="9">
        <v>2452.0</v>
      </c>
      <c r="H41" s="9">
        <v>1594.0</v>
      </c>
      <c r="I41" s="9">
        <v>1649.0</v>
      </c>
      <c r="J41" s="9">
        <v>237.0</v>
      </c>
      <c r="K41" s="9">
        <v>4695.0</v>
      </c>
      <c r="L41" s="9">
        <v>92.0</v>
      </c>
      <c r="M41" s="9">
        <v>2360.0</v>
      </c>
      <c r="N41" s="9">
        <v>0.0</v>
      </c>
      <c r="O41" s="9">
        <v>1594.0</v>
      </c>
      <c r="Q41" s="9">
        <v>28.0</v>
      </c>
      <c r="R41" s="23">
        <v>0.002741</v>
      </c>
      <c r="S41" s="9">
        <v>16.0</v>
      </c>
      <c r="T41" s="9">
        <v>5446.0</v>
      </c>
      <c r="U41" s="9">
        <v>5757.0</v>
      </c>
      <c r="V41" s="9">
        <v>4932.0</v>
      </c>
      <c r="W41" s="9">
        <v>2452.0</v>
      </c>
      <c r="X41" s="9">
        <v>1594.0</v>
      </c>
      <c r="Y41" s="9">
        <v>1649.0</v>
      </c>
      <c r="Z41" s="9">
        <v>237.0</v>
      </c>
      <c r="AA41" s="9">
        <v>4695.0</v>
      </c>
      <c r="AB41" s="9">
        <v>92.0</v>
      </c>
      <c r="AC41" s="9">
        <v>2360.0</v>
      </c>
      <c r="AD41" s="9">
        <v>0.0</v>
      </c>
      <c r="AE41" s="9">
        <v>1594.0</v>
      </c>
    </row>
    <row r="42" ht="15.75" customHeight="1">
      <c r="A42" s="4">
        <v>29.0</v>
      </c>
      <c r="B42" s="22">
        <v>0.002695</v>
      </c>
      <c r="C42" s="4">
        <v>30.0</v>
      </c>
      <c r="D42" s="4">
        <v>5327.0</v>
      </c>
      <c r="E42" s="4">
        <v>5649.0</v>
      </c>
      <c r="F42" s="4">
        <v>4945.0</v>
      </c>
      <c r="G42" s="4">
        <v>2540.0</v>
      </c>
      <c r="H42" s="4">
        <v>1664.0</v>
      </c>
      <c r="I42" s="4">
        <v>1586.0</v>
      </c>
      <c r="J42" s="4">
        <v>195.0</v>
      </c>
      <c r="K42" s="4">
        <v>4750.0</v>
      </c>
      <c r="L42" s="4">
        <v>99.0</v>
      </c>
      <c r="M42" s="4">
        <v>2441.0</v>
      </c>
      <c r="N42" s="4">
        <v>0.0</v>
      </c>
      <c r="O42" s="4">
        <v>1664.0</v>
      </c>
      <c r="Q42" s="4">
        <v>29.0</v>
      </c>
      <c r="R42" s="22">
        <v>0.002683</v>
      </c>
      <c r="S42" s="4">
        <v>15.0</v>
      </c>
      <c r="T42" s="4">
        <v>5327.0</v>
      </c>
      <c r="U42" s="4">
        <v>5649.0</v>
      </c>
      <c r="V42" s="4">
        <v>4945.0</v>
      </c>
      <c r="W42" s="4">
        <v>2540.0</v>
      </c>
      <c r="X42" s="4">
        <v>1664.0</v>
      </c>
      <c r="Y42" s="4">
        <v>1586.0</v>
      </c>
      <c r="Z42" s="4">
        <v>195.0</v>
      </c>
      <c r="AA42" s="4">
        <v>4750.0</v>
      </c>
      <c r="AB42" s="4">
        <v>99.0</v>
      </c>
      <c r="AC42" s="4">
        <v>2441.0</v>
      </c>
      <c r="AD42" s="4">
        <v>0.0</v>
      </c>
      <c r="AE42" s="4">
        <v>1664.0</v>
      </c>
    </row>
    <row r="43" ht="15.75" customHeight="1">
      <c r="A43" s="9">
        <v>30.0</v>
      </c>
      <c r="B43" s="23">
        <v>0.002672</v>
      </c>
      <c r="C43" s="9">
        <v>26.0</v>
      </c>
      <c r="D43" s="9">
        <v>5359.0</v>
      </c>
      <c r="E43" s="9">
        <v>5669.0</v>
      </c>
      <c r="F43" s="9">
        <v>4915.0</v>
      </c>
      <c r="G43" s="9">
        <v>2506.0</v>
      </c>
      <c r="H43" s="9">
        <v>1660.0</v>
      </c>
      <c r="I43" s="9">
        <v>1634.0</v>
      </c>
      <c r="J43" s="9">
        <v>198.0</v>
      </c>
      <c r="K43" s="9">
        <v>4717.0</v>
      </c>
      <c r="L43" s="9">
        <v>111.0</v>
      </c>
      <c r="M43" s="9">
        <v>2395.0</v>
      </c>
      <c r="N43" s="9">
        <v>0.0</v>
      </c>
      <c r="O43" s="9">
        <v>1660.0</v>
      </c>
      <c r="Q43" s="9">
        <v>30.0</v>
      </c>
      <c r="R43" s="23">
        <v>0.002592</v>
      </c>
      <c r="S43" s="9">
        <v>17.0</v>
      </c>
      <c r="T43" s="9">
        <v>5359.0</v>
      </c>
      <c r="U43" s="9">
        <v>5669.0</v>
      </c>
      <c r="V43" s="9">
        <v>4915.0</v>
      </c>
      <c r="W43" s="9">
        <v>2506.0</v>
      </c>
      <c r="X43" s="9">
        <v>1660.0</v>
      </c>
      <c r="Y43" s="9">
        <v>1634.0</v>
      </c>
      <c r="Z43" s="9">
        <v>198.0</v>
      </c>
      <c r="AA43" s="9">
        <v>4717.0</v>
      </c>
      <c r="AB43" s="9">
        <v>111.0</v>
      </c>
      <c r="AC43" s="9">
        <v>2395.0</v>
      </c>
      <c r="AD43" s="9">
        <v>0.0</v>
      </c>
      <c r="AE43" s="9">
        <v>1660.0</v>
      </c>
    </row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1.71"/>
    <col customWidth="1" min="2" max="2" width="14.71"/>
    <col customWidth="1" min="3" max="15" width="11.71"/>
    <col customWidth="1" min="16" max="16" width="3.71"/>
    <col customWidth="1" min="17" max="17" width="11.71"/>
    <col customWidth="1" min="18" max="18" width="14.71"/>
    <col customWidth="1" min="19" max="31" width="11.71"/>
    <col customWidth="1" min="32" max="48" width="8.71"/>
  </cols>
  <sheetData>
    <row r="1">
      <c r="A1" s="1" t="s">
        <v>67</v>
      </c>
    </row>
    <row r="3">
      <c r="B3" s="2" t="s">
        <v>39</v>
      </c>
    </row>
    <row r="4">
      <c r="B4" s="3" t="s">
        <v>40</v>
      </c>
      <c r="C4" s="3" t="s">
        <v>6</v>
      </c>
      <c r="D4" s="3" t="s">
        <v>7</v>
      </c>
    </row>
    <row r="5">
      <c r="B5" s="18" t="s">
        <v>41</v>
      </c>
      <c r="C5" s="5">
        <f>MIN(B14:B43)</f>
        <v>0.006234</v>
      </c>
      <c r="D5" s="5">
        <f>MIN(R14:R43)</f>
        <v>0.006045</v>
      </c>
    </row>
    <row r="6">
      <c r="B6" s="18" t="s">
        <v>42</v>
      </c>
      <c r="C6" s="5">
        <f>MAX(B14:B43)</f>
        <v>0.011198</v>
      </c>
      <c r="D6" s="5">
        <f>MAX(R14:R43)</f>
        <v>0.010573</v>
      </c>
    </row>
    <row r="7">
      <c r="B7" s="18" t="s">
        <v>43</v>
      </c>
      <c r="C7" s="5">
        <f>AVERAGE(B14:B43)</f>
        <v>0.008566066667</v>
      </c>
      <c r="D7" s="5">
        <f>AVERAGE(R14:R43)</f>
        <v>0.008148466667</v>
      </c>
    </row>
    <row r="8">
      <c r="B8" s="18" t="s">
        <v>44</v>
      </c>
      <c r="C8" s="5">
        <f>_xlfn.STDEV.S(B14:B43)</f>
        <v>0.001504826624</v>
      </c>
      <c r="D8" s="5">
        <f>_xlfn.STDEV.S(R14:R43)</f>
        <v>0.001338967377</v>
      </c>
    </row>
    <row r="9">
      <c r="B9" s="18" t="s">
        <v>45</v>
      </c>
      <c r="C9" s="6">
        <f t="shared" ref="C9:D9" si="1">C7/C6</f>
        <v>0.7649639817</v>
      </c>
      <c r="D9" s="6">
        <f t="shared" si="1"/>
        <v>0.7706863394</v>
      </c>
    </row>
    <row r="10">
      <c r="B10" s="18" t="s">
        <v>46</v>
      </c>
      <c r="C10" s="6">
        <f>AVERAGE(C14:C43)</f>
        <v>30.16666667</v>
      </c>
      <c r="D10" s="6">
        <f>AVERAGE(S14:S43)</f>
        <v>17.56666667</v>
      </c>
    </row>
    <row r="11">
      <c r="B11" s="18" t="s">
        <v>47</v>
      </c>
      <c r="C11" s="19">
        <f>MAX(C14:C43)</f>
        <v>35</v>
      </c>
      <c r="D11" s="19">
        <f>MAX(S14:S43)</f>
        <v>19</v>
      </c>
    </row>
    <row r="12">
      <c r="A12" s="2" t="s">
        <v>48</v>
      </c>
      <c r="Q12" s="2" t="s">
        <v>49</v>
      </c>
    </row>
    <row r="13">
      <c r="A13" s="20" t="s">
        <v>50</v>
      </c>
      <c r="B13" s="20" t="s">
        <v>51</v>
      </c>
      <c r="C13" s="20" t="s">
        <v>52</v>
      </c>
      <c r="D13" s="20" t="s">
        <v>53</v>
      </c>
      <c r="E13" s="20" t="s">
        <v>54</v>
      </c>
      <c r="F13" s="20" t="s">
        <v>55</v>
      </c>
      <c r="G13" s="20" t="s">
        <v>56</v>
      </c>
      <c r="H13" s="20" t="s">
        <v>57</v>
      </c>
      <c r="I13" s="20" t="s">
        <v>58</v>
      </c>
      <c r="J13" s="20" t="s">
        <v>59</v>
      </c>
      <c r="K13" s="20" t="s">
        <v>60</v>
      </c>
      <c r="L13" s="20" t="s">
        <v>61</v>
      </c>
      <c r="M13" s="20" t="s">
        <v>62</v>
      </c>
      <c r="N13" s="20" t="s">
        <v>63</v>
      </c>
      <c r="O13" s="20" t="s">
        <v>64</v>
      </c>
      <c r="Q13" s="21" t="s">
        <v>50</v>
      </c>
      <c r="R13" s="21" t="s">
        <v>51</v>
      </c>
      <c r="S13" s="21" t="s">
        <v>52</v>
      </c>
      <c r="T13" s="21" t="s">
        <v>53</v>
      </c>
      <c r="U13" s="21" t="s">
        <v>54</v>
      </c>
      <c r="V13" s="21" t="s">
        <v>55</v>
      </c>
      <c r="W13" s="21" t="s">
        <v>56</v>
      </c>
      <c r="X13" s="21" t="s">
        <v>57</v>
      </c>
      <c r="Y13" s="21" t="s">
        <v>58</v>
      </c>
      <c r="Z13" s="21" t="s">
        <v>59</v>
      </c>
      <c r="AA13" s="21" t="s">
        <v>60</v>
      </c>
      <c r="AB13" s="21" t="s">
        <v>61</v>
      </c>
      <c r="AC13" s="21" t="s">
        <v>62</v>
      </c>
      <c r="AD13" s="21" t="s">
        <v>63</v>
      </c>
      <c r="AE13" s="21" t="s">
        <v>64</v>
      </c>
    </row>
    <row r="14">
      <c r="A14" s="4">
        <v>1.0</v>
      </c>
      <c r="B14" s="22">
        <v>0.00939</v>
      </c>
      <c r="C14" s="4">
        <v>29.0</v>
      </c>
      <c r="D14" s="4">
        <v>10878.0</v>
      </c>
      <c r="E14" s="4">
        <v>11525.0</v>
      </c>
      <c r="F14" s="4">
        <v>9770.0</v>
      </c>
      <c r="G14" s="4">
        <v>4998.0</v>
      </c>
      <c r="H14" s="4">
        <v>3237.0</v>
      </c>
      <c r="I14" s="4">
        <v>3238.0</v>
      </c>
      <c r="J14" s="4">
        <v>395.0</v>
      </c>
      <c r="K14" s="4">
        <v>9375.0</v>
      </c>
      <c r="L14" s="4">
        <v>203.0</v>
      </c>
      <c r="M14" s="4">
        <v>4795.0</v>
      </c>
      <c r="N14" s="4">
        <v>0.0</v>
      </c>
      <c r="O14" s="4">
        <v>3237.0</v>
      </c>
      <c r="Q14" s="4">
        <v>1.0</v>
      </c>
      <c r="R14" s="22">
        <v>0.007756</v>
      </c>
      <c r="S14" s="4">
        <v>17.0</v>
      </c>
      <c r="T14" s="4">
        <v>10878.0</v>
      </c>
      <c r="U14" s="4">
        <v>11525.0</v>
      </c>
      <c r="V14" s="4">
        <v>9770.0</v>
      </c>
      <c r="W14" s="4">
        <v>4998.0</v>
      </c>
      <c r="X14" s="4">
        <v>3237.0</v>
      </c>
      <c r="Y14" s="4">
        <v>3238.0</v>
      </c>
      <c r="Z14" s="4">
        <v>395.0</v>
      </c>
      <c r="AA14" s="4">
        <v>9375.0</v>
      </c>
      <c r="AB14" s="4">
        <v>203.0</v>
      </c>
      <c r="AC14" s="4">
        <v>4795.0</v>
      </c>
      <c r="AD14" s="4">
        <v>0.0</v>
      </c>
      <c r="AE14" s="4">
        <v>3237.0</v>
      </c>
    </row>
    <row r="15">
      <c r="A15" s="9">
        <v>2.0</v>
      </c>
      <c r="B15" s="23">
        <v>0.006234</v>
      </c>
      <c r="C15" s="9">
        <v>28.0</v>
      </c>
      <c r="D15" s="9">
        <v>10737.0</v>
      </c>
      <c r="E15" s="9">
        <v>11362.0</v>
      </c>
      <c r="F15" s="9">
        <v>9894.0</v>
      </c>
      <c r="G15" s="9">
        <v>4826.0</v>
      </c>
      <c r="H15" s="9">
        <v>3313.0</v>
      </c>
      <c r="I15" s="9">
        <v>3373.0</v>
      </c>
      <c r="J15" s="9">
        <v>437.0</v>
      </c>
      <c r="K15" s="9">
        <v>9457.0</v>
      </c>
      <c r="L15" s="9">
        <v>202.0</v>
      </c>
      <c r="M15" s="9">
        <v>4624.0</v>
      </c>
      <c r="N15" s="9">
        <v>2.0</v>
      </c>
      <c r="O15" s="9">
        <v>3311.0</v>
      </c>
      <c r="Q15" s="9">
        <v>2.0</v>
      </c>
      <c r="R15" s="23">
        <v>0.007515</v>
      </c>
      <c r="S15" s="9">
        <v>17.0</v>
      </c>
      <c r="T15" s="9">
        <v>10737.0</v>
      </c>
      <c r="U15" s="9">
        <v>11362.0</v>
      </c>
      <c r="V15" s="9">
        <v>9894.0</v>
      </c>
      <c r="W15" s="9">
        <v>4826.0</v>
      </c>
      <c r="X15" s="9">
        <v>3313.0</v>
      </c>
      <c r="Y15" s="9">
        <v>3373.0</v>
      </c>
      <c r="Z15" s="9">
        <v>437.0</v>
      </c>
      <c r="AA15" s="9">
        <v>9457.0</v>
      </c>
      <c r="AB15" s="9">
        <v>202.0</v>
      </c>
      <c r="AC15" s="9">
        <v>4624.0</v>
      </c>
      <c r="AD15" s="9">
        <v>2.0</v>
      </c>
      <c r="AE15" s="9">
        <v>3311.0</v>
      </c>
    </row>
    <row r="16">
      <c r="A16" s="4">
        <v>3.0</v>
      </c>
      <c r="B16" s="22">
        <v>0.009934</v>
      </c>
      <c r="C16" s="4">
        <v>30.0</v>
      </c>
      <c r="D16" s="4">
        <v>10843.0</v>
      </c>
      <c r="E16" s="4">
        <v>11469.0</v>
      </c>
      <c r="F16" s="4">
        <v>9849.0</v>
      </c>
      <c r="G16" s="4">
        <v>4893.0</v>
      </c>
      <c r="H16" s="4">
        <v>3258.0</v>
      </c>
      <c r="I16" s="4">
        <v>3299.0</v>
      </c>
      <c r="J16" s="4">
        <v>415.0</v>
      </c>
      <c r="K16" s="4">
        <v>9434.0</v>
      </c>
      <c r="L16" s="4">
        <v>201.0</v>
      </c>
      <c r="M16" s="4">
        <v>4692.0</v>
      </c>
      <c r="N16" s="4">
        <v>1.0</v>
      </c>
      <c r="O16" s="4">
        <v>3257.0</v>
      </c>
      <c r="Q16" s="4">
        <v>3.0</v>
      </c>
      <c r="R16" s="22">
        <v>0.006113</v>
      </c>
      <c r="S16" s="4">
        <v>17.0</v>
      </c>
      <c r="T16" s="4">
        <v>10843.0</v>
      </c>
      <c r="U16" s="4">
        <v>11469.0</v>
      </c>
      <c r="V16" s="4">
        <v>9849.0</v>
      </c>
      <c r="W16" s="4">
        <v>4893.0</v>
      </c>
      <c r="X16" s="4">
        <v>3258.0</v>
      </c>
      <c r="Y16" s="4">
        <v>3299.0</v>
      </c>
      <c r="Z16" s="4">
        <v>415.0</v>
      </c>
      <c r="AA16" s="4">
        <v>9434.0</v>
      </c>
      <c r="AB16" s="4">
        <v>201.0</v>
      </c>
      <c r="AC16" s="4">
        <v>4692.0</v>
      </c>
      <c r="AD16" s="4">
        <v>1.0</v>
      </c>
      <c r="AE16" s="4">
        <v>3257.0</v>
      </c>
    </row>
    <row r="17">
      <c r="A17" s="9">
        <v>4.0</v>
      </c>
      <c r="B17" s="23">
        <v>0.007198</v>
      </c>
      <c r="C17" s="9">
        <v>32.0</v>
      </c>
      <c r="D17" s="9">
        <v>10747.0</v>
      </c>
      <c r="E17" s="9">
        <v>11353.0</v>
      </c>
      <c r="F17" s="9">
        <v>9888.0</v>
      </c>
      <c r="G17" s="9">
        <v>4923.0</v>
      </c>
      <c r="H17" s="9">
        <v>3282.0</v>
      </c>
      <c r="I17" s="9">
        <v>3322.0</v>
      </c>
      <c r="J17" s="9">
        <v>431.0</v>
      </c>
      <c r="K17" s="9">
        <v>9457.0</v>
      </c>
      <c r="L17" s="9">
        <v>180.0</v>
      </c>
      <c r="M17" s="9">
        <v>4743.0</v>
      </c>
      <c r="N17" s="9">
        <v>2.0</v>
      </c>
      <c r="O17" s="9">
        <v>3280.0</v>
      </c>
      <c r="Q17" s="9">
        <v>4.0</v>
      </c>
      <c r="R17" s="23">
        <v>0.006919</v>
      </c>
      <c r="S17" s="9">
        <v>17.0</v>
      </c>
      <c r="T17" s="9">
        <v>10747.0</v>
      </c>
      <c r="U17" s="9">
        <v>11353.0</v>
      </c>
      <c r="V17" s="9">
        <v>9888.0</v>
      </c>
      <c r="W17" s="9">
        <v>4923.0</v>
      </c>
      <c r="X17" s="9">
        <v>3282.0</v>
      </c>
      <c r="Y17" s="9">
        <v>3322.0</v>
      </c>
      <c r="Z17" s="9">
        <v>431.0</v>
      </c>
      <c r="AA17" s="9">
        <v>9457.0</v>
      </c>
      <c r="AB17" s="9">
        <v>180.0</v>
      </c>
      <c r="AC17" s="9">
        <v>4743.0</v>
      </c>
      <c r="AD17" s="9">
        <v>2.0</v>
      </c>
      <c r="AE17" s="9">
        <v>3280.0</v>
      </c>
    </row>
    <row r="18">
      <c r="A18" s="4">
        <v>5.0</v>
      </c>
      <c r="B18" s="22">
        <v>0.007362</v>
      </c>
      <c r="C18" s="4">
        <v>31.0</v>
      </c>
      <c r="D18" s="4">
        <v>10665.0</v>
      </c>
      <c r="E18" s="4">
        <v>11314.0</v>
      </c>
      <c r="F18" s="4">
        <v>10062.0</v>
      </c>
      <c r="G18" s="4">
        <v>4795.0</v>
      </c>
      <c r="H18" s="4">
        <v>3252.0</v>
      </c>
      <c r="I18" s="4">
        <v>3345.0</v>
      </c>
      <c r="J18" s="4">
        <v>419.0</v>
      </c>
      <c r="K18" s="4">
        <v>9643.0</v>
      </c>
      <c r="L18" s="4">
        <v>179.0</v>
      </c>
      <c r="M18" s="4">
        <v>4616.0</v>
      </c>
      <c r="N18" s="4">
        <v>2.0</v>
      </c>
      <c r="O18" s="4">
        <v>3250.0</v>
      </c>
      <c r="Q18" s="4">
        <v>5.0</v>
      </c>
      <c r="R18" s="22">
        <v>0.006877</v>
      </c>
      <c r="S18" s="4">
        <v>18.0</v>
      </c>
      <c r="T18" s="4">
        <v>10665.0</v>
      </c>
      <c r="U18" s="4">
        <v>11314.0</v>
      </c>
      <c r="V18" s="4">
        <v>10062.0</v>
      </c>
      <c r="W18" s="4">
        <v>4795.0</v>
      </c>
      <c r="X18" s="4">
        <v>3252.0</v>
      </c>
      <c r="Y18" s="4">
        <v>3345.0</v>
      </c>
      <c r="Z18" s="4">
        <v>419.0</v>
      </c>
      <c r="AA18" s="4">
        <v>9643.0</v>
      </c>
      <c r="AB18" s="4">
        <v>179.0</v>
      </c>
      <c r="AC18" s="4">
        <v>4616.0</v>
      </c>
      <c r="AD18" s="4">
        <v>2.0</v>
      </c>
      <c r="AE18" s="4">
        <v>3250.0</v>
      </c>
    </row>
    <row r="19">
      <c r="A19" s="9">
        <v>6.0</v>
      </c>
      <c r="B19" s="23">
        <v>0.006568</v>
      </c>
      <c r="C19" s="9">
        <v>27.0</v>
      </c>
      <c r="D19" s="9">
        <v>10800.0</v>
      </c>
      <c r="E19" s="9">
        <v>11432.0</v>
      </c>
      <c r="F19" s="9">
        <v>9838.0</v>
      </c>
      <c r="G19" s="9">
        <v>4964.0</v>
      </c>
      <c r="H19" s="9">
        <v>3274.0</v>
      </c>
      <c r="I19" s="9">
        <v>3260.0</v>
      </c>
      <c r="J19" s="9">
        <v>431.0</v>
      </c>
      <c r="K19" s="9">
        <v>9407.0</v>
      </c>
      <c r="L19" s="9">
        <v>171.0</v>
      </c>
      <c r="M19" s="9">
        <v>4793.0</v>
      </c>
      <c r="N19" s="9">
        <v>0.0</v>
      </c>
      <c r="O19" s="9">
        <v>3274.0</v>
      </c>
      <c r="Q19" s="9">
        <v>6.0</v>
      </c>
      <c r="R19" s="23">
        <v>0.006386</v>
      </c>
      <c r="S19" s="9">
        <v>17.0</v>
      </c>
      <c r="T19" s="9">
        <v>10800.0</v>
      </c>
      <c r="U19" s="9">
        <v>11432.0</v>
      </c>
      <c r="V19" s="9">
        <v>9838.0</v>
      </c>
      <c r="W19" s="9">
        <v>4964.0</v>
      </c>
      <c r="X19" s="9">
        <v>3274.0</v>
      </c>
      <c r="Y19" s="9">
        <v>3260.0</v>
      </c>
      <c r="Z19" s="9">
        <v>431.0</v>
      </c>
      <c r="AA19" s="9">
        <v>9407.0</v>
      </c>
      <c r="AB19" s="9">
        <v>171.0</v>
      </c>
      <c r="AC19" s="9">
        <v>4793.0</v>
      </c>
      <c r="AD19" s="9">
        <v>0.0</v>
      </c>
      <c r="AE19" s="9">
        <v>3274.0</v>
      </c>
    </row>
    <row r="20">
      <c r="A20" s="4">
        <v>7.0</v>
      </c>
      <c r="B20" s="22">
        <v>0.009553</v>
      </c>
      <c r="C20" s="4">
        <v>29.0</v>
      </c>
      <c r="D20" s="4">
        <v>10942.0</v>
      </c>
      <c r="E20" s="4">
        <v>11571.0</v>
      </c>
      <c r="F20" s="4">
        <v>9864.0</v>
      </c>
      <c r="G20" s="4">
        <v>4820.0</v>
      </c>
      <c r="H20" s="4">
        <v>3190.0</v>
      </c>
      <c r="I20" s="4">
        <v>3323.0</v>
      </c>
      <c r="J20" s="4">
        <v>406.0</v>
      </c>
      <c r="K20" s="4">
        <v>9458.0</v>
      </c>
      <c r="L20" s="4">
        <v>199.0</v>
      </c>
      <c r="M20" s="4">
        <v>4621.0</v>
      </c>
      <c r="N20" s="4">
        <v>2.0</v>
      </c>
      <c r="O20" s="4">
        <v>3188.0</v>
      </c>
      <c r="Q20" s="4">
        <v>7.0</v>
      </c>
      <c r="R20" s="22">
        <v>0.009251</v>
      </c>
      <c r="S20" s="4">
        <v>18.0</v>
      </c>
      <c r="T20" s="4">
        <v>10942.0</v>
      </c>
      <c r="U20" s="4">
        <v>11571.0</v>
      </c>
      <c r="V20" s="4">
        <v>9864.0</v>
      </c>
      <c r="W20" s="4">
        <v>4820.0</v>
      </c>
      <c r="X20" s="4">
        <v>3190.0</v>
      </c>
      <c r="Y20" s="4">
        <v>3323.0</v>
      </c>
      <c r="Z20" s="4">
        <v>406.0</v>
      </c>
      <c r="AA20" s="4">
        <v>9458.0</v>
      </c>
      <c r="AB20" s="4">
        <v>199.0</v>
      </c>
      <c r="AC20" s="4">
        <v>4621.0</v>
      </c>
      <c r="AD20" s="4">
        <v>2.0</v>
      </c>
      <c r="AE20" s="4">
        <v>3188.0</v>
      </c>
    </row>
    <row r="21" ht="15.75" customHeight="1">
      <c r="A21" s="9">
        <v>8.0</v>
      </c>
      <c r="B21" s="23">
        <v>0.006718</v>
      </c>
      <c r="C21" s="9">
        <v>28.0</v>
      </c>
      <c r="D21" s="9">
        <v>10751.0</v>
      </c>
      <c r="E21" s="9">
        <v>11335.0</v>
      </c>
      <c r="F21" s="9">
        <v>9789.0</v>
      </c>
      <c r="G21" s="9">
        <v>4957.0</v>
      </c>
      <c r="H21" s="9">
        <v>3343.0</v>
      </c>
      <c r="I21" s="9">
        <v>3344.0</v>
      </c>
      <c r="J21" s="9">
        <v>405.0</v>
      </c>
      <c r="K21" s="9">
        <v>9384.0</v>
      </c>
      <c r="L21" s="9">
        <v>183.0</v>
      </c>
      <c r="M21" s="9">
        <v>4774.0</v>
      </c>
      <c r="N21" s="9">
        <v>2.0</v>
      </c>
      <c r="O21" s="9">
        <v>3341.0</v>
      </c>
      <c r="Q21" s="9">
        <v>8.0</v>
      </c>
      <c r="R21" s="23">
        <v>0.006119</v>
      </c>
      <c r="S21" s="9">
        <v>18.0</v>
      </c>
      <c r="T21" s="9">
        <v>10751.0</v>
      </c>
      <c r="U21" s="9">
        <v>11335.0</v>
      </c>
      <c r="V21" s="9">
        <v>9789.0</v>
      </c>
      <c r="W21" s="9">
        <v>4957.0</v>
      </c>
      <c r="X21" s="9">
        <v>3343.0</v>
      </c>
      <c r="Y21" s="9">
        <v>3344.0</v>
      </c>
      <c r="Z21" s="9">
        <v>405.0</v>
      </c>
      <c r="AA21" s="9">
        <v>9384.0</v>
      </c>
      <c r="AB21" s="9">
        <v>183.0</v>
      </c>
      <c r="AC21" s="9">
        <v>4774.0</v>
      </c>
      <c r="AD21" s="9">
        <v>2.0</v>
      </c>
      <c r="AE21" s="9">
        <v>3341.0</v>
      </c>
    </row>
    <row r="22" ht="15.75" customHeight="1">
      <c r="A22" s="4">
        <v>9.0</v>
      </c>
      <c r="B22" s="22">
        <v>0.008262</v>
      </c>
      <c r="C22" s="4">
        <v>27.0</v>
      </c>
      <c r="D22" s="4">
        <v>10852.0</v>
      </c>
      <c r="E22" s="4">
        <v>11461.0</v>
      </c>
      <c r="F22" s="4">
        <v>9809.0</v>
      </c>
      <c r="G22" s="4">
        <v>4864.0</v>
      </c>
      <c r="H22" s="4">
        <v>3319.0</v>
      </c>
      <c r="I22" s="4">
        <v>3315.0</v>
      </c>
      <c r="J22" s="4">
        <v>393.0</v>
      </c>
      <c r="K22" s="4">
        <v>9416.0</v>
      </c>
      <c r="L22" s="4">
        <v>175.0</v>
      </c>
      <c r="M22" s="4">
        <v>4689.0</v>
      </c>
      <c r="N22" s="4">
        <v>1.0</v>
      </c>
      <c r="O22" s="4">
        <v>3318.0</v>
      </c>
      <c r="Q22" s="4">
        <v>9.0</v>
      </c>
      <c r="R22" s="22">
        <v>0.007399</v>
      </c>
      <c r="S22" s="4">
        <v>17.0</v>
      </c>
      <c r="T22" s="4">
        <v>10852.0</v>
      </c>
      <c r="U22" s="4">
        <v>11461.0</v>
      </c>
      <c r="V22" s="4">
        <v>9809.0</v>
      </c>
      <c r="W22" s="4">
        <v>4864.0</v>
      </c>
      <c r="X22" s="4">
        <v>3319.0</v>
      </c>
      <c r="Y22" s="4">
        <v>3315.0</v>
      </c>
      <c r="Z22" s="4">
        <v>393.0</v>
      </c>
      <c r="AA22" s="4">
        <v>9416.0</v>
      </c>
      <c r="AB22" s="4">
        <v>175.0</v>
      </c>
      <c r="AC22" s="4">
        <v>4689.0</v>
      </c>
      <c r="AD22" s="4">
        <v>1.0</v>
      </c>
      <c r="AE22" s="4">
        <v>3318.0</v>
      </c>
    </row>
    <row r="23" ht="15.75" customHeight="1">
      <c r="A23" s="9">
        <v>10.0</v>
      </c>
      <c r="B23" s="23">
        <v>0.006558</v>
      </c>
      <c r="C23" s="9">
        <v>30.0</v>
      </c>
      <c r="D23" s="9">
        <v>10898.0</v>
      </c>
      <c r="E23" s="9">
        <v>11515.0</v>
      </c>
      <c r="F23" s="9">
        <v>9871.0</v>
      </c>
      <c r="G23" s="9">
        <v>4892.0</v>
      </c>
      <c r="H23" s="9">
        <v>3249.0</v>
      </c>
      <c r="I23" s="9">
        <v>3241.0</v>
      </c>
      <c r="J23" s="9">
        <v>416.0</v>
      </c>
      <c r="K23" s="9">
        <v>9455.0</v>
      </c>
      <c r="L23" s="9">
        <v>189.0</v>
      </c>
      <c r="M23" s="9">
        <v>4703.0</v>
      </c>
      <c r="N23" s="9">
        <v>3.0</v>
      </c>
      <c r="O23" s="9">
        <v>3246.0</v>
      </c>
      <c r="Q23" s="9">
        <v>10.0</v>
      </c>
      <c r="R23" s="23">
        <v>0.007569</v>
      </c>
      <c r="S23" s="9">
        <v>18.0</v>
      </c>
      <c r="T23" s="9">
        <v>10898.0</v>
      </c>
      <c r="U23" s="9">
        <v>11515.0</v>
      </c>
      <c r="V23" s="9">
        <v>9871.0</v>
      </c>
      <c r="W23" s="9">
        <v>4892.0</v>
      </c>
      <c r="X23" s="9">
        <v>3249.0</v>
      </c>
      <c r="Y23" s="9">
        <v>3241.0</v>
      </c>
      <c r="Z23" s="9">
        <v>416.0</v>
      </c>
      <c r="AA23" s="9">
        <v>9455.0</v>
      </c>
      <c r="AB23" s="9">
        <v>189.0</v>
      </c>
      <c r="AC23" s="9">
        <v>4703.0</v>
      </c>
      <c r="AD23" s="9">
        <v>3.0</v>
      </c>
      <c r="AE23" s="9">
        <v>3246.0</v>
      </c>
    </row>
    <row r="24" ht="15.75" customHeight="1">
      <c r="A24" s="4">
        <v>11.0</v>
      </c>
      <c r="B24" s="22">
        <v>0.006713</v>
      </c>
      <c r="C24" s="4">
        <v>32.0</v>
      </c>
      <c r="D24" s="4">
        <v>10805.0</v>
      </c>
      <c r="E24" s="4">
        <v>11413.0</v>
      </c>
      <c r="F24" s="4">
        <v>9858.0</v>
      </c>
      <c r="G24" s="4">
        <v>4864.0</v>
      </c>
      <c r="H24" s="4">
        <v>3283.0</v>
      </c>
      <c r="I24" s="4">
        <v>3350.0</v>
      </c>
      <c r="J24" s="4">
        <v>405.0</v>
      </c>
      <c r="K24" s="4">
        <v>9453.0</v>
      </c>
      <c r="L24" s="4">
        <v>179.0</v>
      </c>
      <c r="M24" s="4">
        <v>4685.0</v>
      </c>
      <c r="N24" s="4">
        <v>0.0</v>
      </c>
      <c r="O24" s="4">
        <v>3283.0</v>
      </c>
      <c r="Q24" s="4">
        <v>11.0</v>
      </c>
      <c r="R24" s="22">
        <v>0.00767</v>
      </c>
      <c r="S24" s="4">
        <v>17.0</v>
      </c>
      <c r="T24" s="4">
        <v>10805.0</v>
      </c>
      <c r="U24" s="4">
        <v>11413.0</v>
      </c>
      <c r="V24" s="4">
        <v>9858.0</v>
      </c>
      <c r="W24" s="4">
        <v>4864.0</v>
      </c>
      <c r="X24" s="4">
        <v>3283.0</v>
      </c>
      <c r="Y24" s="4">
        <v>3350.0</v>
      </c>
      <c r="Z24" s="4">
        <v>405.0</v>
      </c>
      <c r="AA24" s="4">
        <v>9453.0</v>
      </c>
      <c r="AB24" s="4">
        <v>179.0</v>
      </c>
      <c r="AC24" s="4">
        <v>4685.0</v>
      </c>
      <c r="AD24" s="4">
        <v>0.0</v>
      </c>
      <c r="AE24" s="4">
        <v>3283.0</v>
      </c>
    </row>
    <row r="25" ht="15.75" customHeight="1">
      <c r="A25" s="9">
        <v>12.0</v>
      </c>
      <c r="B25" s="23">
        <v>0.008882</v>
      </c>
      <c r="C25" s="9">
        <v>31.0</v>
      </c>
      <c r="D25" s="9">
        <v>10837.0</v>
      </c>
      <c r="E25" s="9">
        <v>11459.0</v>
      </c>
      <c r="F25" s="9">
        <v>9781.0</v>
      </c>
      <c r="G25" s="9">
        <v>4951.0</v>
      </c>
      <c r="H25" s="9">
        <v>3341.0</v>
      </c>
      <c r="I25" s="9">
        <v>3236.0</v>
      </c>
      <c r="J25" s="9">
        <v>411.0</v>
      </c>
      <c r="K25" s="9">
        <v>9370.0</v>
      </c>
      <c r="L25" s="9">
        <v>180.0</v>
      </c>
      <c r="M25" s="9">
        <v>4771.0</v>
      </c>
      <c r="N25" s="9">
        <v>4.0</v>
      </c>
      <c r="O25" s="9">
        <v>3337.0</v>
      </c>
      <c r="Q25" s="9">
        <v>12.0</v>
      </c>
      <c r="R25" s="23">
        <v>0.009394</v>
      </c>
      <c r="S25" s="9">
        <v>19.0</v>
      </c>
      <c r="T25" s="9">
        <v>10837.0</v>
      </c>
      <c r="U25" s="9">
        <v>11459.0</v>
      </c>
      <c r="V25" s="9">
        <v>9781.0</v>
      </c>
      <c r="W25" s="9">
        <v>4951.0</v>
      </c>
      <c r="X25" s="9">
        <v>3341.0</v>
      </c>
      <c r="Y25" s="9">
        <v>3236.0</v>
      </c>
      <c r="Z25" s="9">
        <v>411.0</v>
      </c>
      <c r="AA25" s="9">
        <v>9370.0</v>
      </c>
      <c r="AB25" s="9">
        <v>180.0</v>
      </c>
      <c r="AC25" s="9">
        <v>4771.0</v>
      </c>
      <c r="AD25" s="9">
        <v>4.0</v>
      </c>
      <c r="AE25" s="9">
        <v>3337.0</v>
      </c>
    </row>
    <row r="26" ht="15.75" customHeight="1">
      <c r="A26" s="4">
        <v>13.0</v>
      </c>
      <c r="B26" s="22">
        <v>0.009664</v>
      </c>
      <c r="C26" s="4">
        <v>31.0</v>
      </c>
      <c r="D26" s="4">
        <v>10893.0</v>
      </c>
      <c r="E26" s="4">
        <v>11528.0</v>
      </c>
      <c r="F26" s="4">
        <v>9866.0</v>
      </c>
      <c r="G26" s="4">
        <v>4800.0</v>
      </c>
      <c r="H26" s="4">
        <v>3280.0</v>
      </c>
      <c r="I26" s="4">
        <v>3294.0</v>
      </c>
      <c r="J26" s="4">
        <v>433.0</v>
      </c>
      <c r="K26" s="4">
        <v>9433.0</v>
      </c>
      <c r="L26" s="4">
        <v>194.0</v>
      </c>
      <c r="M26" s="4">
        <v>4606.0</v>
      </c>
      <c r="N26" s="4">
        <v>4.0</v>
      </c>
      <c r="O26" s="4">
        <v>3276.0</v>
      </c>
      <c r="Q26" s="4">
        <v>13.0</v>
      </c>
      <c r="R26" s="22">
        <v>0.00962</v>
      </c>
      <c r="S26" s="4">
        <v>18.0</v>
      </c>
      <c r="T26" s="4">
        <v>10893.0</v>
      </c>
      <c r="U26" s="4">
        <v>11528.0</v>
      </c>
      <c r="V26" s="4">
        <v>9866.0</v>
      </c>
      <c r="W26" s="4">
        <v>4800.0</v>
      </c>
      <c r="X26" s="4">
        <v>3280.0</v>
      </c>
      <c r="Y26" s="4">
        <v>3294.0</v>
      </c>
      <c r="Z26" s="4">
        <v>433.0</v>
      </c>
      <c r="AA26" s="4">
        <v>9433.0</v>
      </c>
      <c r="AB26" s="4">
        <v>194.0</v>
      </c>
      <c r="AC26" s="4">
        <v>4606.0</v>
      </c>
      <c r="AD26" s="4">
        <v>4.0</v>
      </c>
      <c r="AE26" s="4">
        <v>3276.0</v>
      </c>
    </row>
    <row r="27" ht="15.75" customHeight="1">
      <c r="A27" s="9">
        <v>14.0</v>
      </c>
      <c r="B27" s="23">
        <v>0.011198</v>
      </c>
      <c r="C27" s="9">
        <v>30.0</v>
      </c>
      <c r="D27" s="9">
        <v>10914.0</v>
      </c>
      <c r="E27" s="9">
        <v>11569.0</v>
      </c>
      <c r="F27" s="9">
        <v>9923.0</v>
      </c>
      <c r="G27" s="9">
        <v>4852.0</v>
      </c>
      <c r="H27" s="9">
        <v>3283.0</v>
      </c>
      <c r="I27" s="9">
        <v>3141.0</v>
      </c>
      <c r="J27" s="9">
        <v>390.0</v>
      </c>
      <c r="K27" s="9">
        <v>9533.0</v>
      </c>
      <c r="L27" s="9">
        <v>175.0</v>
      </c>
      <c r="M27" s="9">
        <v>4677.0</v>
      </c>
      <c r="N27" s="9">
        <v>1.0</v>
      </c>
      <c r="O27" s="9">
        <v>3282.0</v>
      </c>
      <c r="Q27" s="9">
        <v>14.0</v>
      </c>
      <c r="R27" s="23">
        <v>0.009856</v>
      </c>
      <c r="S27" s="9">
        <v>17.0</v>
      </c>
      <c r="T27" s="9">
        <v>10914.0</v>
      </c>
      <c r="U27" s="9">
        <v>11569.0</v>
      </c>
      <c r="V27" s="9">
        <v>9923.0</v>
      </c>
      <c r="W27" s="9">
        <v>4852.0</v>
      </c>
      <c r="X27" s="9">
        <v>3283.0</v>
      </c>
      <c r="Y27" s="9">
        <v>3141.0</v>
      </c>
      <c r="Z27" s="9">
        <v>390.0</v>
      </c>
      <c r="AA27" s="9">
        <v>9533.0</v>
      </c>
      <c r="AB27" s="9">
        <v>175.0</v>
      </c>
      <c r="AC27" s="9">
        <v>4677.0</v>
      </c>
      <c r="AD27" s="9">
        <v>1.0</v>
      </c>
      <c r="AE27" s="9">
        <v>3282.0</v>
      </c>
    </row>
    <row r="28" ht="15.75" customHeight="1">
      <c r="A28" s="4">
        <v>15.0</v>
      </c>
      <c r="B28" s="22">
        <v>0.009983</v>
      </c>
      <c r="C28" s="4">
        <v>31.0</v>
      </c>
      <c r="D28" s="4">
        <v>10944.0</v>
      </c>
      <c r="E28" s="4">
        <v>11558.0</v>
      </c>
      <c r="F28" s="4">
        <v>9824.0</v>
      </c>
      <c r="G28" s="4">
        <v>4890.0</v>
      </c>
      <c r="H28" s="4">
        <v>3241.0</v>
      </c>
      <c r="I28" s="4">
        <v>3255.0</v>
      </c>
      <c r="J28" s="4">
        <v>395.0</v>
      </c>
      <c r="K28" s="4">
        <v>9429.0</v>
      </c>
      <c r="L28" s="4">
        <v>190.0</v>
      </c>
      <c r="M28" s="4">
        <v>4700.0</v>
      </c>
      <c r="N28" s="4">
        <v>0.0</v>
      </c>
      <c r="O28" s="4">
        <v>3241.0</v>
      </c>
      <c r="Q28" s="4">
        <v>15.0</v>
      </c>
      <c r="R28" s="22">
        <v>0.010573</v>
      </c>
      <c r="S28" s="4">
        <v>18.0</v>
      </c>
      <c r="T28" s="4">
        <v>10944.0</v>
      </c>
      <c r="U28" s="4">
        <v>11558.0</v>
      </c>
      <c r="V28" s="4">
        <v>9824.0</v>
      </c>
      <c r="W28" s="4">
        <v>4890.0</v>
      </c>
      <c r="X28" s="4">
        <v>3241.0</v>
      </c>
      <c r="Y28" s="4">
        <v>3255.0</v>
      </c>
      <c r="Z28" s="4">
        <v>395.0</v>
      </c>
      <c r="AA28" s="4">
        <v>9429.0</v>
      </c>
      <c r="AB28" s="4">
        <v>190.0</v>
      </c>
      <c r="AC28" s="4">
        <v>4700.0</v>
      </c>
      <c r="AD28" s="4">
        <v>0.0</v>
      </c>
      <c r="AE28" s="4">
        <v>3241.0</v>
      </c>
    </row>
    <row r="29" ht="15.75" customHeight="1">
      <c r="A29" s="9">
        <v>16.0</v>
      </c>
      <c r="B29" s="23">
        <v>0.009831</v>
      </c>
      <c r="C29" s="9">
        <v>32.0</v>
      </c>
      <c r="D29" s="9">
        <v>10876.0</v>
      </c>
      <c r="E29" s="9">
        <v>11516.0</v>
      </c>
      <c r="F29" s="9">
        <v>9731.0</v>
      </c>
      <c r="G29" s="9">
        <v>4898.0</v>
      </c>
      <c r="H29" s="9">
        <v>3330.0</v>
      </c>
      <c r="I29" s="9">
        <v>3293.0</v>
      </c>
      <c r="J29" s="9">
        <v>415.0</v>
      </c>
      <c r="K29" s="9">
        <v>9316.0</v>
      </c>
      <c r="L29" s="9">
        <v>168.0</v>
      </c>
      <c r="M29" s="9">
        <v>4730.0</v>
      </c>
      <c r="N29" s="9">
        <v>2.0</v>
      </c>
      <c r="O29" s="9">
        <v>3328.0</v>
      </c>
      <c r="Q29" s="9">
        <v>16.0</v>
      </c>
      <c r="R29" s="23">
        <v>0.009384</v>
      </c>
      <c r="S29" s="9">
        <v>17.0</v>
      </c>
      <c r="T29" s="9">
        <v>10876.0</v>
      </c>
      <c r="U29" s="9">
        <v>11516.0</v>
      </c>
      <c r="V29" s="9">
        <v>9731.0</v>
      </c>
      <c r="W29" s="9">
        <v>4898.0</v>
      </c>
      <c r="X29" s="9">
        <v>3330.0</v>
      </c>
      <c r="Y29" s="9">
        <v>3293.0</v>
      </c>
      <c r="Z29" s="9">
        <v>415.0</v>
      </c>
      <c r="AA29" s="9">
        <v>9316.0</v>
      </c>
      <c r="AB29" s="9">
        <v>168.0</v>
      </c>
      <c r="AC29" s="9">
        <v>4730.0</v>
      </c>
      <c r="AD29" s="9">
        <v>2.0</v>
      </c>
      <c r="AE29" s="9">
        <v>3328.0</v>
      </c>
    </row>
    <row r="30" ht="15.75" customHeight="1">
      <c r="A30" s="4">
        <v>17.0</v>
      </c>
      <c r="B30" s="22">
        <v>0.009805</v>
      </c>
      <c r="C30" s="4">
        <v>27.0</v>
      </c>
      <c r="D30" s="4">
        <v>10770.0</v>
      </c>
      <c r="E30" s="4">
        <v>11397.0</v>
      </c>
      <c r="F30" s="4">
        <v>9962.0</v>
      </c>
      <c r="G30" s="4">
        <v>4893.0</v>
      </c>
      <c r="H30" s="4">
        <v>3258.0</v>
      </c>
      <c r="I30" s="4">
        <v>3258.0</v>
      </c>
      <c r="J30" s="4">
        <v>439.0</v>
      </c>
      <c r="K30" s="4">
        <v>9523.0</v>
      </c>
      <c r="L30" s="4">
        <v>191.0</v>
      </c>
      <c r="M30" s="4">
        <v>4702.0</v>
      </c>
      <c r="N30" s="4">
        <v>1.0</v>
      </c>
      <c r="O30" s="4">
        <v>3257.0</v>
      </c>
      <c r="Q30" s="4">
        <v>17.0</v>
      </c>
      <c r="R30" s="22">
        <v>0.009493</v>
      </c>
      <c r="S30" s="4">
        <v>17.0</v>
      </c>
      <c r="T30" s="4">
        <v>10770.0</v>
      </c>
      <c r="U30" s="4">
        <v>11397.0</v>
      </c>
      <c r="V30" s="4">
        <v>9962.0</v>
      </c>
      <c r="W30" s="4">
        <v>4893.0</v>
      </c>
      <c r="X30" s="4">
        <v>3258.0</v>
      </c>
      <c r="Y30" s="4">
        <v>3258.0</v>
      </c>
      <c r="Z30" s="4">
        <v>439.0</v>
      </c>
      <c r="AA30" s="4">
        <v>9523.0</v>
      </c>
      <c r="AB30" s="4">
        <v>191.0</v>
      </c>
      <c r="AC30" s="4">
        <v>4702.0</v>
      </c>
      <c r="AD30" s="4">
        <v>1.0</v>
      </c>
      <c r="AE30" s="4">
        <v>3257.0</v>
      </c>
    </row>
    <row r="31" ht="15.75" customHeight="1">
      <c r="A31" s="9">
        <v>18.0</v>
      </c>
      <c r="B31" s="23">
        <v>0.010281</v>
      </c>
      <c r="C31" s="9">
        <v>33.0</v>
      </c>
      <c r="D31" s="9">
        <v>10850.0</v>
      </c>
      <c r="E31" s="9">
        <v>11477.0</v>
      </c>
      <c r="F31" s="9">
        <v>9815.0</v>
      </c>
      <c r="G31" s="9">
        <v>4861.0</v>
      </c>
      <c r="H31" s="9">
        <v>3281.0</v>
      </c>
      <c r="I31" s="9">
        <v>3334.0</v>
      </c>
      <c r="J31" s="9">
        <v>438.0</v>
      </c>
      <c r="K31" s="9">
        <v>9377.0</v>
      </c>
      <c r="L31" s="9">
        <v>194.0</v>
      </c>
      <c r="M31" s="9">
        <v>4667.0</v>
      </c>
      <c r="N31" s="9">
        <v>0.0</v>
      </c>
      <c r="O31" s="9">
        <v>3281.0</v>
      </c>
      <c r="Q31" s="9">
        <v>18.0</v>
      </c>
      <c r="R31" s="23">
        <v>0.009153</v>
      </c>
      <c r="S31" s="9">
        <v>18.0</v>
      </c>
      <c r="T31" s="9">
        <v>10850.0</v>
      </c>
      <c r="U31" s="9">
        <v>11477.0</v>
      </c>
      <c r="V31" s="9">
        <v>9815.0</v>
      </c>
      <c r="W31" s="9">
        <v>4861.0</v>
      </c>
      <c r="X31" s="9">
        <v>3281.0</v>
      </c>
      <c r="Y31" s="9">
        <v>3334.0</v>
      </c>
      <c r="Z31" s="9">
        <v>438.0</v>
      </c>
      <c r="AA31" s="9">
        <v>9377.0</v>
      </c>
      <c r="AB31" s="9">
        <v>194.0</v>
      </c>
      <c r="AC31" s="9">
        <v>4667.0</v>
      </c>
      <c r="AD31" s="9">
        <v>0.0</v>
      </c>
      <c r="AE31" s="9">
        <v>3281.0</v>
      </c>
    </row>
    <row r="32" ht="15.75" customHeight="1">
      <c r="A32" s="4">
        <v>19.0</v>
      </c>
      <c r="B32" s="22">
        <v>0.009405</v>
      </c>
      <c r="C32" s="4">
        <v>30.0</v>
      </c>
      <c r="D32" s="4">
        <v>10812.0</v>
      </c>
      <c r="E32" s="4">
        <v>11436.0</v>
      </c>
      <c r="F32" s="4">
        <v>9881.0</v>
      </c>
      <c r="G32" s="4">
        <v>4859.0</v>
      </c>
      <c r="H32" s="4">
        <v>3282.0</v>
      </c>
      <c r="I32" s="4">
        <v>3310.0</v>
      </c>
      <c r="J32" s="4">
        <v>438.0</v>
      </c>
      <c r="K32" s="4">
        <v>9443.0</v>
      </c>
      <c r="L32" s="4">
        <v>164.0</v>
      </c>
      <c r="M32" s="4">
        <v>4695.0</v>
      </c>
      <c r="N32" s="4">
        <v>3.0</v>
      </c>
      <c r="O32" s="4">
        <v>3279.0</v>
      </c>
      <c r="Q32" s="4">
        <v>19.0</v>
      </c>
      <c r="R32" s="22">
        <v>0.008263</v>
      </c>
      <c r="S32" s="4">
        <v>18.0</v>
      </c>
      <c r="T32" s="4">
        <v>10812.0</v>
      </c>
      <c r="U32" s="4">
        <v>11436.0</v>
      </c>
      <c r="V32" s="4">
        <v>9881.0</v>
      </c>
      <c r="W32" s="4">
        <v>4859.0</v>
      </c>
      <c r="X32" s="4">
        <v>3282.0</v>
      </c>
      <c r="Y32" s="4">
        <v>3310.0</v>
      </c>
      <c r="Z32" s="4">
        <v>438.0</v>
      </c>
      <c r="AA32" s="4">
        <v>9443.0</v>
      </c>
      <c r="AB32" s="4">
        <v>164.0</v>
      </c>
      <c r="AC32" s="4">
        <v>4695.0</v>
      </c>
      <c r="AD32" s="4">
        <v>3.0</v>
      </c>
      <c r="AE32" s="4">
        <v>3279.0</v>
      </c>
    </row>
    <row r="33" ht="15.75" customHeight="1">
      <c r="A33" s="9">
        <v>20.0</v>
      </c>
      <c r="B33" s="23">
        <v>0.010166</v>
      </c>
      <c r="C33" s="9">
        <v>33.0</v>
      </c>
      <c r="D33" s="9">
        <v>10801.0</v>
      </c>
      <c r="E33" s="9">
        <v>11444.0</v>
      </c>
      <c r="F33" s="9">
        <v>9853.0</v>
      </c>
      <c r="G33" s="9">
        <v>4921.0</v>
      </c>
      <c r="H33" s="9">
        <v>3303.0</v>
      </c>
      <c r="I33" s="9">
        <v>3247.0</v>
      </c>
      <c r="J33" s="9">
        <v>416.0</v>
      </c>
      <c r="K33" s="9">
        <v>9437.0</v>
      </c>
      <c r="L33" s="9">
        <v>168.0</v>
      </c>
      <c r="M33" s="9">
        <v>4753.0</v>
      </c>
      <c r="N33" s="9">
        <v>0.0</v>
      </c>
      <c r="O33" s="9">
        <v>3303.0</v>
      </c>
      <c r="Q33" s="9">
        <v>20.0</v>
      </c>
      <c r="R33" s="23">
        <v>0.008961</v>
      </c>
      <c r="S33" s="9">
        <v>18.0</v>
      </c>
      <c r="T33" s="9">
        <v>10801.0</v>
      </c>
      <c r="U33" s="9">
        <v>11444.0</v>
      </c>
      <c r="V33" s="9">
        <v>9853.0</v>
      </c>
      <c r="W33" s="9">
        <v>4921.0</v>
      </c>
      <c r="X33" s="9">
        <v>3303.0</v>
      </c>
      <c r="Y33" s="9">
        <v>3247.0</v>
      </c>
      <c r="Z33" s="9">
        <v>416.0</v>
      </c>
      <c r="AA33" s="9">
        <v>9437.0</v>
      </c>
      <c r="AB33" s="9">
        <v>168.0</v>
      </c>
      <c r="AC33" s="9">
        <v>4753.0</v>
      </c>
      <c r="AD33" s="9">
        <v>0.0</v>
      </c>
      <c r="AE33" s="9">
        <v>3303.0</v>
      </c>
    </row>
    <row r="34" ht="15.75" customHeight="1">
      <c r="A34" s="4">
        <v>21.0</v>
      </c>
      <c r="B34" s="22">
        <v>0.009077</v>
      </c>
      <c r="C34" s="4">
        <v>28.0</v>
      </c>
      <c r="D34" s="4">
        <v>10905.0</v>
      </c>
      <c r="E34" s="4">
        <v>11515.0</v>
      </c>
      <c r="F34" s="4">
        <v>9835.0</v>
      </c>
      <c r="G34" s="4">
        <v>4923.0</v>
      </c>
      <c r="H34" s="4">
        <v>3258.0</v>
      </c>
      <c r="I34" s="4">
        <v>3237.0</v>
      </c>
      <c r="J34" s="4">
        <v>412.0</v>
      </c>
      <c r="K34" s="4">
        <v>9423.0</v>
      </c>
      <c r="L34" s="4">
        <v>175.0</v>
      </c>
      <c r="M34" s="4">
        <v>4748.0</v>
      </c>
      <c r="N34" s="4">
        <v>0.0</v>
      </c>
      <c r="O34" s="4">
        <v>3258.0</v>
      </c>
      <c r="Q34" s="4">
        <v>21.0</v>
      </c>
      <c r="R34" s="22">
        <v>0.009309</v>
      </c>
      <c r="S34" s="4">
        <v>17.0</v>
      </c>
      <c r="T34" s="4">
        <v>10905.0</v>
      </c>
      <c r="U34" s="4">
        <v>11515.0</v>
      </c>
      <c r="V34" s="4">
        <v>9835.0</v>
      </c>
      <c r="W34" s="4">
        <v>4923.0</v>
      </c>
      <c r="X34" s="4">
        <v>3258.0</v>
      </c>
      <c r="Y34" s="4">
        <v>3237.0</v>
      </c>
      <c r="Z34" s="4">
        <v>412.0</v>
      </c>
      <c r="AA34" s="4">
        <v>9423.0</v>
      </c>
      <c r="AB34" s="4">
        <v>175.0</v>
      </c>
      <c r="AC34" s="4">
        <v>4748.0</v>
      </c>
      <c r="AD34" s="4">
        <v>0.0</v>
      </c>
      <c r="AE34" s="4">
        <v>3258.0</v>
      </c>
    </row>
    <row r="35" ht="15.75" customHeight="1">
      <c r="A35" s="9">
        <v>22.0</v>
      </c>
      <c r="B35" s="23">
        <v>0.009355</v>
      </c>
      <c r="C35" s="9">
        <v>35.0</v>
      </c>
      <c r="D35" s="9">
        <v>10771.0</v>
      </c>
      <c r="E35" s="9">
        <v>11388.0</v>
      </c>
      <c r="F35" s="9">
        <v>9889.0</v>
      </c>
      <c r="G35" s="9">
        <v>4909.0</v>
      </c>
      <c r="H35" s="9">
        <v>3171.0</v>
      </c>
      <c r="I35" s="9">
        <v>3411.0</v>
      </c>
      <c r="J35" s="9">
        <v>403.0</v>
      </c>
      <c r="K35" s="9">
        <v>9486.0</v>
      </c>
      <c r="L35" s="9">
        <v>171.0</v>
      </c>
      <c r="M35" s="9">
        <v>4738.0</v>
      </c>
      <c r="N35" s="9">
        <v>1.0</v>
      </c>
      <c r="O35" s="9">
        <v>3170.0</v>
      </c>
      <c r="Q35" s="9">
        <v>22.0</v>
      </c>
      <c r="R35" s="23">
        <v>0.008781</v>
      </c>
      <c r="S35" s="9">
        <v>17.0</v>
      </c>
      <c r="T35" s="9">
        <v>10771.0</v>
      </c>
      <c r="U35" s="9">
        <v>11388.0</v>
      </c>
      <c r="V35" s="9">
        <v>9889.0</v>
      </c>
      <c r="W35" s="9">
        <v>4909.0</v>
      </c>
      <c r="X35" s="9">
        <v>3171.0</v>
      </c>
      <c r="Y35" s="9">
        <v>3411.0</v>
      </c>
      <c r="Z35" s="9">
        <v>403.0</v>
      </c>
      <c r="AA35" s="9">
        <v>9486.0</v>
      </c>
      <c r="AB35" s="9">
        <v>171.0</v>
      </c>
      <c r="AC35" s="9">
        <v>4738.0</v>
      </c>
      <c r="AD35" s="9">
        <v>1.0</v>
      </c>
      <c r="AE35" s="9">
        <v>3170.0</v>
      </c>
    </row>
    <row r="36" ht="15.75" customHeight="1">
      <c r="A36" s="4">
        <v>23.0</v>
      </c>
      <c r="B36" s="22">
        <v>0.009708</v>
      </c>
      <c r="C36" s="4">
        <v>32.0</v>
      </c>
      <c r="D36" s="4">
        <v>10957.0</v>
      </c>
      <c r="E36" s="4">
        <v>11585.0</v>
      </c>
      <c r="F36" s="4">
        <v>9752.0</v>
      </c>
      <c r="G36" s="4">
        <v>4951.0</v>
      </c>
      <c r="H36" s="4">
        <v>3245.0</v>
      </c>
      <c r="I36" s="4">
        <v>3235.0</v>
      </c>
      <c r="J36" s="4">
        <v>395.0</v>
      </c>
      <c r="K36" s="4">
        <v>9357.0</v>
      </c>
      <c r="L36" s="4">
        <v>181.0</v>
      </c>
      <c r="M36" s="4">
        <v>4770.0</v>
      </c>
      <c r="N36" s="4">
        <v>0.0</v>
      </c>
      <c r="O36" s="4">
        <v>3245.0</v>
      </c>
      <c r="Q36" s="4">
        <v>23.0</v>
      </c>
      <c r="R36" s="22">
        <v>0.009198</v>
      </c>
      <c r="S36" s="4">
        <v>19.0</v>
      </c>
      <c r="T36" s="4">
        <v>10957.0</v>
      </c>
      <c r="U36" s="4">
        <v>11585.0</v>
      </c>
      <c r="V36" s="4">
        <v>9752.0</v>
      </c>
      <c r="W36" s="4">
        <v>4951.0</v>
      </c>
      <c r="X36" s="4">
        <v>3245.0</v>
      </c>
      <c r="Y36" s="4">
        <v>3235.0</v>
      </c>
      <c r="Z36" s="4">
        <v>395.0</v>
      </c>
      <c r="AA36" s="4">
        <v>9357.0</v>
      </c>
      <c r="AB36" s="4">
        <v>181.0</v>
      </c>
      <c r="AC36" s="4">
        <v>4770.0</v>
      </c>
      <c r="AD36" s="4">
        <v>0.0</v>
      </c>
      <c r="AE36" s="4">
        <v>3245.0</v>
      </c>
    </row>
    <row r="37" ht="15.75" customHeight="1">
      <c r="A37" s="9">
        <v>24.0</v>
      </c>
      <c r="B37" s="23">
        <v>0.008892</v>
      </c>
      <c r="C37" s="9">
        <v>32.0</v>
      </c>
      <c r="D37" s="9">
        <v>10846.0</v>
      </c>
      <c r="E37" s="9">
        <v>11464.0</v>
      </c>
      <c r="F37" s="9">
        <v>9844.0</v>
      </c>
      <c r="G37" s="9">
        <v>4885.0</v>
      </c>
      <c r="H37" s="9">
        <v>3271.0</v>
      </c>
      <c r="I37" s="9">
        <v>3304.0</v>
      </c>
      <c r="J37" s="9">
        <v>421.0</v>
      </c>
      <c r="K37" s="9">
        <v>9423.0</v>
      </c>
      <c r="L37" s="9">
        <v>193.0</v>
      </c>
      <c r="M37" s="9">
        <v>4692.0</v>
      </c>
      <c r="N37" s="9">
        <v>2.0</v>
      </c>
      <c r="O37" s="9">
        <v>3269.0</v>
      </c>
      <c r="Q37" s="9">
        <v>24.0</v>
      </c>
      <c r="R37" s="23">
        <v>0.008954</v>
      </c>
      <c r="S37" s="9">
        <v>17.0</v>
      </c>
      <c r="T37" s="9">
        <v>10846.0</v>
      </c>
      <c r="U37" s="9">
        <v>11464.0</v>
      </c>
      <c r="V37" s="9">
        <v>9844.0</v>
      </c>
      <c r="W37" s="9">
        <v>4885.0</v>
      </c>
      <c r="X37" s="9">
        <v>3271.0</v>
      </c>
      <c r="Y37" s="9">
        <v>3304.0</v>
      </c>
      <c r="Z37" s="9">
        <v>421.0</v>
      </c>
      <c r="AA37" s="9">
        <v>9423.0</v>
      </c>
      <c r="AB37" s="9">
        <v>193.0</v>
      </c>
      <c r="AC37" s="9">
        <v>4692.0</v>
      </c>
      <c r="AD37" s="9">
        <v>2.0</v>
      </c>
      <c r="AE37" s="9">
        <v>3269.0</v>
      </c>
    </row>
    <row r="38" ht="15.75" customHeight="1">
      <c r="A38" s="4">
        <v>25.0</v>
      </c>
      <c r="B38" s="22">
        <v>0.009209</v>
      </c>
      <c r="C38" s="4">
        <v>29.0</v>
      </c>
      <c r="D38" s="4">
        <v>10720.0</v>
      </c>
      <c r="E38" s="4">
        <v>11357.0</v>
      </c>
      <c r="F38" s="4">
        <v>9936.0</v>
      </c>
      <c r="G38" s="4">
        <v>4924.0</v>
      </c>
      <c r="H38" s="4">
        <v>3271.0</v>
      </c>
      <c r="I38" s="4">
        <v>3280.0</v>
      </c>
      <c r="J38" s="4">
        <v>390.0</v>
      </c>
      <c r="K38" s="4">
        <v>9546.0</v>
      </c>
      <c r="L38" s="4">
        <v>210.0</v>
      </c>
      <c r="M38" s="4">
        <v>4714.0</v>
      </c>
      <c r="N38" s="4">
        <v>1.0</v>
      </c>
      <c r="O38" s="4">
        <v>3270.0</v>
      </c>
      <c r="Q38" s="4">
        <v>25.0</v>
      </c>
      <c r="R38" s="22">
        <v>0.008498</v>
      </c>
      <c r="S38" s="4">
        <v>18.0</v>
      </c>
      <c r="T38" s="4">
        <v>10720.0</v>
      </c>
      <c r="U38" s="4">
        <v>11357.0</v>
      </c>
      <c r="V38" s="4">
        <v>9936.0</v>
      </c>
      <c r="W38" s="4">
        <v>4924.0</v>
      </c>
      <c r="X38" s="4">
        <v>3271.0</v>
      </c>
      <c r="Y38" s="4">
        <v>3280.0</v>
      </c>
      <c r="Z38" s="4">
        <v>390.0</v>
      </c>
      <c r="AA38" s="4">
        <v>9546.0</v>
      </c>
      <c r="AB38" s="4">
        <v>210.0</v>
      </c>
      <c r="AC38" s="4">
        <v>4714.0</v>
      </c>
      <c r="AD38" s="4">
        <v>1.0</v>
      </c>
      <c r="AE38" s="4">
        <v>3270.0</v>
      </c>
    </row>
    <row r="39" ht="15.75" customHeight="1">
      <c r="A39" s="9">
        <v>26.0</v>
      </c>
      <c r="B39" s="23">
        <v>0.009616</v>
      </c>
      <c r="C39" s="9">
        <v>30.0</v>
      </c>
      <c r="D39" s="9">
        <v>10851.0</v>
      </c>
      <c r="E39" s="9">
        <v>11458.0</v>
      </c>
      <c r="F39" s="9">
        <v>9828.0</v>
      </c>
      <c r="G39" s="9">
        <v>4933.0</v>
      </c>
      <c r="H39" s="9">
        <v>3318.0</v>
      </c>
      <c r="I39" s="9">
        <v>3231.0</v>
      </c>
      <c r="J39" s="9">
        <v>419.0</v>
      </c>
      <c r="K39" s="9">
        <v>9409.0</v>
      </c>
      <c r="L39" s="9">
        <v>186.0</v>
      </c>
      <c r="M39" s="9">
        <v>4747.0</v>
      </c>
      <c r="N39" s="9">
        <v>1.0</v>
      </c>
      <c r="O39" s="9">
        <v>3317.0</v>
      </c>
      <c r="Q39" s="9">
        <v>26.0</v>
      </c>
      <c r="R39" s="23">
        <v>0.008258</v>
      </c>
      <c r="S39" s="9">
        <v>17.0</v>
      </c>
      <c r="T39" s="9">
        <v>10851.0</v>
      </c>
      <c r="U39" s="9">
        <v>11458.0</v>
      </c>
      <c r="V39" s="9">
        <v>9828.0</v>
      </c>
      <c r="W39" s="9">
        <v>4933.0</v>
      </c>
      <c r="X39" s="9">
        <v>3318.0</v>
      </c>
      <c r="Y39" s="9">
        <v>3231.0</v>
      </c>
      <c r="Z39" s="9">
        <v>419.0</v>
      </c>
      <c r="AA39" s="9">
        <v>9409.0</v>
      </c>
      <c r="AB39" s="9">
        <v>186.0</v>
      </c>
      <c r="AC39" s="9">
        <v>4747.0</v>
      </c>
      <c r="AD39" s="9">
        <v>1.0</v>
      </c>
      <c r="AE39" s="9">
        <v>3317.0</v>
      </c>
    </row>
    <row r="40" ht="15.75" customHeight="1">
      <c r="A40" s="4">
        <v>27.0</v>
      </c>
      <c r="B40" s="22">
        <v>0.00634</v>
      </c>
      <c r="C40" s="4">
        <v>27.0</v>
      </c>
      <c r="D40" s="4">
        <v>10785.0</v>
      </c>
      <c r="E40" s="4">
        <v>11404.0</v>
      </c>
      <c r="F40" s="4">
        <v>10014.0</v>
      </c>
      <c r="G40" s="4">
        <v>4781.0</v>
      </c>
      <c r="H40" s="4">
        <v>3267.0</v>
      </c>
      <c r="I40" s="4">
        <v>3302.0</v>
      </c>
      <c r="J40" s="4">
        <v>410.0</v>
      </c>
      <c r="K40" s="4">
        <v>9604.0</v>
      </c>
      <c r="L40" s="4">
        <v>176.0</v>
      </c>
      <c r="M40" s="4">
        <v>4605.0</v>
      </c>
      <c r="N40" s="4">
        <v>2.0</v>
      </c>
      <c r="O40" s="4">
        <v>3265.0</v>
      </c>
      <c r="Q40" s="4">
        <v>27.0</v>
      </c>
      <c r="R40" s="22">
        <v>0.006072</v>
      </c>
      <c r="S40" s="4">
        <v>18.0</v>
      </c>
      <c r="T40" s="4">
        <v>10785.0</v>
      </c>
      <c r="U40" s="4">
        <v>11404.0</v>
      </c>
      <c r="V40" s="4">
        <v>10014.0</v>
      </c>
      <c r="W40" s="4">
        <v>4781.0</v>
      </c>
      <c r="X40" s="4">
        <v>3267.0</v>
      </c>
      <c r="Y40" s="4">
        <v>3302.0</v>
      </c>
      <c r="Z40" s="4">
        <v>410.0</v>
      </c>
      <c r="AA40" s="4">
        <v>9604.0</v>
      </c>
      <c r="AB40" s="4">
        <v>176.0</v>
      </c>
      <c r="AC40" s="4">
        <v>4605.0</v>
      </c>
      <c r="AD40" s="4">
        <v>2.0</v>
      </c>
      <c r="AE40" s="4">
        <v>3265.0</v>
      </c>
    </row>
    <row r="41" ht="15.75" customHeight="1">
      <c r="A41" s="9">
        <v>28.0</v>
      </c>
      <c r="B41" s="23">
        <v>0.008431</v>
      </c>
      <c r="C41" s="9">
        <v>28.0</v>
      </c>
      <c r="D41" s="9">
        <v>10926.0</v>
      </c>
      <c r="E41" s="9">
        <v>11566.0</v>
      </c>
      <c r="F41" s="9">
        <v>9647.0</v>
      </c>
      <c r="G41" s="9">
        <v>4873.0</v>
      </c>
      <c r="H41" s="9">
        <v>3313.0</v>
      </c>
      <c r="I41" s="9">
        <v>3369.0</v>
      </c>
      <c r="J41" s="9">
        <v>428.0</v>
      </c>
      <c r="K41" s="9">
        <v>9219.0</v>
      </c>
      <c r="L41" s="9">
        <v>180.0</v>
      </c>
      <c r="M41" s="9">
        <v>4693.0</v>
      </c>
      <c r="N41" s="9">
        <v>2.0</v>
      </c>
      <c r="O41" s="9">
        <v>3311.0</v>
      </c>
      <c r="Q41" s="9">
        <v>28.0</v>
      </c>
      <c r="R41" s="23">
        <v>0.008939</v>
      </c>
      <c r="S41" s="9">
        <v>18.0</v>
      </c>
      <c r="T41" s="9">
        <v>10926.0</v>
      </c>
      <c r="U41" s="9">
        <v>11566.0</v>
      </c>
      <c r="V41" s="9">
        <v>9647.0</v>
      </c>
      <c r="W41" s="9">
        <v>4873.0</v>
      </c>
      <c r="X41" s="9">
        <v>3313.0</v>
      </c>
      <c r="Y41" s="9">
        <v>3369.0</v>
      </c>
      <c r="Z41" s="9">
        <v>428.0</v>
      </c>
      <c r="AA41" s="9">
        <v>9219.0</v>
      </c>
      <c r="AB41" s="9">
        <v>180.0</v>
      </c>
      <c r="AC41" s="9">
        <v>4693.0</v>
      </c>
      <c r="AD41" s="9">
        <v>2.0</v>
      </c>
      <c r="AE41" s="9">
        <v>3311.0</v>
      </c>
    </row>
    <row r="42" ht="15.75" customHeight="1">
      <c r="A42" s="4">
        <v>29.0</v>
      </c>
      <c r="B42" s="22">
        <v>0.00626</v>
      </c>
      <c r="C42" s="4">
        <v>31.0</v>
      </c>
      <c r="D42" s="4">
        <v>10759.0</v>
      </c>
      <c r="E42" s="4">
        <v>11400.0</v>
      </c>
      <c r="F42" s="4">
        <v>9827.0</v>
      </c>
      <c r="G42" s="4">
        <v>4978.0</v>
      </c>
      <c r="H42" s="4">
        <v>3159.0</v>
      </c>
      <c r="I42" s="4">
        <v>3404.0</v>
      </c>
      <c r="J42" s="4">
        <v>457.0</v>
      </c>
      <c r="K42" s="4">
        <v>9370.0</v>
      </c>
      <c r="L42" s="4">
        <v>204.0</v>
      </c>
      <c r="M42" s="4">
        <v>4774.0</v>
      </c>
      <c r="N42" s="4">
        <v>2.0</v>
      </c>
      <c r="O42" s="4">
        <v>3157.0</v>
      </c>
      <c r="Q42" s="4">
        <v>29.0</v>
      </c>
      <c r="R42" s="22">
        <v>0.006129</v>
      </c>
      <c r="S42" s="4">
        <v>17.0</v>
      </c>
      <c r="T42" s="4">
        <v>10759.0</v>
      </c>
      <c r="U42" s="4">
        <v>11400.0</v>
      </c>
      <c r="V42" s="4">
        <v>9827.0</v>
      </c>
      <c r="W42" s="4">
        <v>4978.0</v>
      </c>
      <c r="X42" s="4">
        <v>3159.0</v>
      </c>
      <c r="Y42" s="4">
        <v>3404.0</v>
      </c>
      <c r="Z42" s="4">
        <v>457.0</v>
      </c>
      <c r="AA42" s="4">
        <v>9370.0</v>
      </c>
      <c r="AB42" s="4">
        <v>204.0</v>
      </c>
      <c r="AC42" s="4">
        <v>4774.0</v>
      </c>
      <c r="AD42" s="4">
        <v>2.0</v>
      </c>
      <c r="AE42" s="4">
        <v>3157.0</v>
      </c>
    </row>
    <row r="43" ht="15.75" customHeight="1">
      <c r="A43" s="9">
        <v>30.0</v>
      </c>
      <c r="B43" s="23">
        <v>0.006389</v>
      </c>
      <c r="C43" s="9">
        <v>32.0</v>
      </c>
      <c r="D43" s="9">
        <v>10677.0</v>
      </c>
      <c r="E43" s="9">
        <v>11313.0</v>
      </c>
      <c r="F43" s="9">
        <v>9975.0</v>
      </c>
      <c r="G43" s="9">
        <v>4925.0</v>
      </c>
      <c r="H43" s="9">
        <v>3275.0</v>
      </c>
      <c r="I43" s="9">
        <v>3280.0</v>
      </c>
      <c r="J43" s="9">
        <v>418.0</v>
      </c>
      <c r="K43" s="9">
        <v>9557.0</v>
      </c>
      <c r="L43" s="9">
        <v>190.0</v>
      </c>
      <c r="M43" s="9">
        <v>4735.0</v>
      </c>
      <c r="N43" s="9">
        <v>1.0</v>
      </c>
      <c r="O43" s="9">
        <v>3274.0</v>
      </c>
      <c r="Q43" s="9">
        <v>30.0</v>
      </c>
      <c r="R43" s="23">
        <v>0.006045</v>
      </c>
      <c r="S43" s="9">
        <v>18.0</v>
      </c>
      <c r="T43" s="9">
        <v>10677.0</v>
      </c>
      <c r="U43" s="9">
        <v>11313.0</v>
      </c>
      <c r="V43" s="9">
        <v>9975.0</v>
      </c>
      <c r="W43" s="9">
        <v>4925.0</v>
      </c>
      <c r="X43" s="9">
        <v>3275.0</v>
      </c>
      <c r="Y43" s="9">
        <v>3280.0</v>
      </c>
      <c r="Z43" s="9">
        <v>418.0</v>
      </c>
      <c r="AA43" s="9">
        <v>9557.0</v>
      </c>
      <c r="AB43" s="9">
        <v>190.0</v>
      </c>
      <c r="AC43" s="9">
        <v>4735.0</v>
      </c>
      <c r="AD43" s="9">
        <v>1.0</v>
      </c>
      <c r="AE43" s="9">
        <v>3274.0</v>
      </c>
    </row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1.71"/>
    <col customWidth="1" min="2" max="2" width="14.71"/>
    <col customWidth="1" min="3" max="15" width="11.71"/>
    <col customWidth="1" min="16" max="16" width="3.71"/>
    <col customWidth="1" min="17" max="17" width="11.71"/>
    <col customWidth="1" min="18" max="18" width="14.71"/>
    <col customWidth="1" min="19" max="31" width="11.71"/>
    <col customWidth="1" min="32" max="48" width="8.71"/>
  </cols>
  <sheetData>
    <row r="1">
      <c r="A1" s="1" t="s">
        <v>68</v>
      </c>
    </row>
    <row r="3">
      <c r="B3" s="2" t="s">
        <v>39</v>
      </c>
    </row>
    <row r="4">
      <c r="B4" s="3" t="s">
        <v>40</v>
      </c>
      <c r="C4" s="3" t="s">
        <v>6</v>
      </c>
      <c r="D4" s="3" t="s">
        <v>7</v>
      </c>
    </row>
    <row r="5">
      <c r="B5" s="18" t="s">
        <v>41</v>
      </c>
      <c r="C5" s="5">
        <f>MIN(B14:B43)</f>
        <v>0.015015</v>
      </c>
      <c r="D5" s="5">
        <f>MIN(R14:R43)</f>
        <v>0.014363</v>
      </c>
    </row>
    <row r="6">
      <c r="B6" s="18" t="s">
        <v>42</v>
      </c>
      <c r="C6" s="5">
        <f>MAX(B14:B43)</f>
        <v>0.028176</v>
      </c>
      <c r="D6" s="5">
        <f>MAX(R14:R43)</f>
        <v>0.027274</v>
      </c>
    </row>
    <row r="7">
      <c r="B7" s="18" t="s">
        <v>43</v>
      </c>
      <c r="C7" s="5">
        <f>AVERAGE(B14:B43)</f>
        <v>0.02008846667</v>
      </c>
      <c r="D7" s="5">
        <f>AVERAGE(R14:R43)</f>
        <v>0.01898186667</v>
      </c>
    </row>
    <row r="8">
      <c r="B8" s="18" t="s">
        <v>44</v>
      </c>
      <c r="C8" s="5">
        <f>_xlfn.STDEV.S(B14:B43)</f>
        <v>0.004466685593</v>
      </c>
      <c r="D8" s="5">
        <f>_xlfn.STDEV.S(R14:R43)</f>
        <v>0.003607089224</v>
      </c>
    </row>
    <row r="9">
      <c r="B9" s="18" t="s">
        <v>45</v>
      </c>
      <c r="C9" s="6">
        <f t="shared" ref="C9:D9" si="1">C7/C6</f>
        <v>0.7129637517</v>
      </c>
      <c r="D9" s="6">
        <f t="shared" si="1"/>
        <v>0.6959692992</v>
      </c>
    </row>
    <row r="10">
      <c r="B10" s="18" t="s">
        <v>46</v>
      </c>
      <c r="C10" s="6">
        <f>AVERAGE(C14:C43)</f>
        <v>32.83333333</v>
      </c>
      <c r="D10" s="6">
        <f>AVERAGE(S14:S43)</f>
        <v>19.2</v>
      </c>
    </row>
    <row r="11">
      <c r="B11" s="18" t="s">
        <v>47</v>
      </c>
      <c r="C11" s="19">
        <f>MAX(C14:C43)</f>
        <v>37</v>
      </c>
      <c r="D11" s="19">
        <f>MAX(S14:S43)</f>
        <v>20</v>
      </c>
    </row>
    <row r="12">
      <c r="A12" s="2" t="s">
        <v>48</v>
      </c>
      <c r="Q12" s="2" t="s">
        <v>49</v>
      </c>
    </row>
    <row r="13">
      <c r="A13" s="20" t="s">
        <v>50</v>
      </c>
      <c r="B13" s="20" t="s">
        <v>51</v>
      </c>
      <c r="C13" s="20" t="s">
        <v>52</v>
      </c>
      <c r="D13" s="20" t="s">
        <v>53</v>
      </c>
      <c r="E13" s="20" t="s">
        <v>54</v>
      </c>
      <c r="F13" s="20" t="s">
        <v>55</v>
      </c>
      <c r="G13" s="20" t="s">
        <v>56</v>
      </c>
      <c r="H13" s="20" t="s">
        <v>57</v>
      </c>
      <c r="I13" s="20" t="s">
        <v>58</v>
      </c>
      <c r="J13" s="20" t="s">
        <v>59</v>
      </c>
      <c r="K13" s="20" t="s">
        <v>60</v>
      </c>
      <c r="L13" s="20" t="s">
        <v>61</v>
      </c>
      <c r="M13" s="20" t="s">
        <v>62</v>
      </c>
      <c r="N13" s="20" t="s">
        <v>63</v>
      </c>
      <c r="O13" s="20" t="s">
        <v>64</v>
      </c>
      <c r="Q13" s="21" t="s">
        <v>50</v>
      </c>
      <c r="R13" s="21" t="s">
        <v>51</v>
      </c>
      <c r="S13" s="21" t="s">
        <v>52</v>
      </c>
      <c r="T13" s="21" t="s">
        <v>53</v>
      </c>
      <c r="U13" s="21" t="s">
        <v>54</v>
      </c>
      <c r="V13" s="21" t="s">
        <v>55</v>
      </c>
      <c r="W13" s="21" t="s">
        <v>56</v>
      </c>
      <c r="X13" s="21" t="s">
        <v>57</v>
      </c>
      <c r="Y13" s="21" t="s">
        <v>58</v>
      </c>
      <c r="Z13" s="21" t="s">
        <v>59</v>
      </c>
      <c r="AA13" s="21" t="s">
        <v>60</v>
      </c>
      <c r="AB13" s="21" t="s">
        <v>61</v>
      </c>
      <c r="AC13" s="21" t="s">
        <v>62</v>
      </c>
      <c r="AD13" s="21" t="s">
        <v>63</v>
      </c>
      <c r="AE13" s="21" t="s">
        <v>64</v>
      </c>
    </row>
    <row r="14">
      <c r="A14" s="4">
        <v>1.0</v>
      </c>
      <c r="B14" s="22">
        <v>0.015432</v>
      </c>
      <c r="C14" s="4">
        <v>31.0</v>
      </c>
      <c r="D14" s="4">
        <v>21728.0</v>
      </c>
      <c r="E14" s="4">
        <v>22978.0</v>
      </c>
      <c r="F14" s="4">
        <v>19799.0</v>
      </c>
      <c r="G14" s="4">
        <v>9685.0</v>
      </c>
      <c r="H14" s="4">
        <v>6583.0</v>
      </c>
      <c r="I14" s="4">
        <v>6491.0</v>
      </c>
      <c r="J14" s="4">
        <v>828.0</v>
      </c>
      <c r="K14" s="4">
        <v>18971.0</v>
      </c>
      <c r="L14" s="4">
        <v>365.0</v>
      </c>
      <c r="M14" s="4">
        <v>9320.0</v>
      </c>
      <c r="N14" s="4">
        <v>2.0</v>
      </c>
      <c r="O14" s="4">
        <v>6581.0</v>
      </c>
      <c r="Q14" s="4">
        <v>1.0</v>
      </c>
      <c r="R14" s="22">
        <v>0.014363</v>
      </c>
      <c r="S14" s="4">
        <v>20.0</v>
      </c>
      <c r="T14" s="4">
        <v>21728.0</v>
      </c>
      <c r="U14" s="4">
        <v>22978.0</v>
      </c>
      <c r="V14" s="4">
        <v>19799.0</v>
      </c>
      <c r="W14" s="4">
        <v>9685.0</v>
      </c>
      <c r="X14" s="4">
        <v>6583.0</v>
      </c>
      <c r="Y14" s="4">
        <v>6491.0</v>
      </c>
      <c r="Z14" s="4">
        <v>828.0</v>
      </c>
      <c r="AA14" s="4">
        <v>18971.0</v>
      </c>
      <c r="AB14" s="4">
        <v>365.0</v>
      </c>
      <c r="AC14" s="4">
        <v>9320.0</v>
      </c>
      <c r="AD14" s="4">
        <v>2.0</v>
      </c>
      <c r="AE14" s="4">
        <v>6581.0</v>
      </c>
    </row>
    <row r="15">
      <c r="A15" s="9">
        <v>2.0</v>
      </c>
      <c r="B15" s="23">
        <v>0.020562</v>
      </c>
      <c r="C15" s="9">
        <v>33.0</v>
      </c>
      <c r="D15" s="9">
        <v>21681.0</v>
      </c>
      <c r="E15" s="9">
        <v>22926.0</v>
      </c>
      <c r="F15" s="9">
        <v>19794.0</v>
      </c>
      <c r="G15" s="9">
        <v>9813.0</v>
      </c>
      <c r="H15" s="9">
        <v>6495.0</v>
      </c>
      <c r="I15" s="9">
        <v>6508.0</v>
      </c>
      <c r="J15" s="9">
        <v>807.0</v>
      </c>
      <c r="K15" s="9">
        <v>18987.0</v>
      </c>
      <c r="L15" s="9">
        <v>381.0</v>
      </c>
      <c r="M15" s="9">
        <v>9432.0</v>
      </c>
      <c r="N15" s="9">
        <v>3.0</v>
      </c>
      <c r="O15" s="9">
        <v>6492.0</v>
      </c>
      <c r="Q15" s="9">
        <v>2.0</v>
      </c>
      <c r="R15" s="23">
        <v>0.015101</v>
      </c>
      <c r="S15" s="9">
        <v>19.0</v>
      </c>
      <c r="T15" s="9">
        <v>21681.0</v>
      </c>
      <c r="U15" s="9">
        <v>22926.0</v>
      </c>
      <c r="V15" s="9">
        <v>19794.0</v>
      </c>
      <c r="W15" s="9">
        <v>9813.0</v>
      </c>
      <c r="X15" s="9">
        <v>6495.0</v>
      </c>
      <c r="Y15" s="9">
        <v>6508.0</v>
      </c>
      <c r="Z15" s="9">
        <v>807.0</v>
      </c>
      <c r="AA15" s="9">
        <v>18987.0</v>
      </c>
      <c r="AB15" s="9">
        <v>381.0</v>
      </c>
      <c r="AC15" s="9">
        <v>9432.0</v>
      </c>
      <c r="AD15" s="9">
        <v>3.0</v>
      </c>
      <c r="AE15" s="9">
        <v>6492.0</v>
      </c>
    </row>
    <row r="16">
      <c r="A16" s="4">
        <v>3.0</v>
      </c>
      <c r="B16" s="22">
        <v>0.015023</v>
      </c>
      <c r="C16" s="4">
        <v>34.0</v>
      </c>
      <c r="D16" s="4">
        <v>21679.0</v>
      </c>
      <c r="E16" s="4">
        <v>22904.0</v>
      </c>
      <c r="F16" s="4">
        <v>19811.0</v>
      </c>
      <c r="G16" s="4">
        <v>9767.0</v>
      </c>
      <c r="H16" s="4">
        <v>6560.0</v>
      </c>
      <c r="I16" s="4">
        <v>6494.0</v>
      </c>
      <c r="J16" s="4">
        <v>850.0</v>
      </c>
      <c r="K16" s="4">
        <v>18961.0</v>
      </c>
      <c r="L16" s="4">
        <v>343.0</v>
      </c>
      <c r="M16" s="4">
        <v>9424.0</v>
      </c>
      <c r="N16" s="4">
        <v>2.0</v>
      </c>
      <c r="O16" s="4">
        <v>6558.0</v>
      </c>
      <c r="Q16" s="4">
        <v>3.0</v>
      </c>
      <c r="R16" s="22">
        <v>0.015596</v>
      </c>
      <c r="S16" s="4">
        <v>20.0</v>
      </c>
      <c r="T16" s="4">
        <v>21679.0</v>
      </c>
      <c r="U16" s="4">
        <v>22904.0</v>
      </c>
      <c r="V16" s="4">
        <v>19811.0</v>
      </c>
      <c r="W16" s="4">
        <v>9767.0</v>
      </c>
      <c r="X16" s="4">
        <v>6560.0</v>
      </c>
      <c r="Y16" s="4">
        <v>6494.0</v>
      </c>
      <c r="Z16" s="4">
        <v>850.0</v>
      </c>
      <c r="AA16" s="4">
        <v>18961.0</v>
      </c>
      <c r="AB16" s="4">
        <v>343.0</v>
      </c>
      <c r="AC16" s="4">
        <v>9424.0</v>
      </c>
      <c r="AD16" s="4">
        <v>2.0</v>
      </c>
      <c r="AE16" s="4">
        <v>6558.0</v>
      </c>
    </row>
    <row r="17">
      <c r="A17" s="9">
        <v>4.0</v>
      </c>
      <c r="B17" s="23">
        <v>0.020071</v>
      </c>
      <c r="C17" s="9">
        <v>31.0</v>
      </c>
      <c r="D17" s="9">
        <v>21499.0</v>
      </c>
      <c r="E17" s="9">
        <v>22757.0</v>
      </c>
      <c r="F17" s="9">
        <v>19674.0</v>
      </c>
      <c r="G17" s="9">
        <v>9961.0</v>
      </c>
      <c r="H17" s="9">
        <v>6657.0</v>
      </c>
      <c r="I17" s="9">
        <v>6487.0</v>
      </c>
      <c r="J17" s="9">
        <v>829.0</v>
      </c>
      <c r="K17" s="9">
        <v>18845.0</v>
      </c>
      <c r="L17" s="9">
        <v>381.0</v>
      </c>
      <c r="M17" s="9">
        <v>9580.0</v>
      </c>
      <c r="N17" s="9">
        <v>0.0</v>
      </c>
      <c r="O17" s="9">
        <v>6657.0</v>
      </c>
      <c r="Q17" s="9">
        <v>4.0</v>
      </c>
      <c r="R17" s="23">
        <v>0.01463</v>
      </c>
      <c r="S17" s="9">
        <v>19.0</v>
      </c>
      <c r="T17" s="9">
        <v>21499.0</v>
      </c>
      <c r="U17" s="9">
        <v>22757.0</v>
      </c>
      <c r="V17" s="9">
        <v>19674.0</v>
      </c>
      <c r="W17" s="9">
        <v>9961.0</v>
      </c>
      <c r="X17" s="9">
        <v>6657.0</v>
      </c>
      <c r="Y17" s="9">
        <v>6487.0</v>
      </c>
      <c r="Z17" s="9">
        <v>829.0</v>
      </c>
      <c r="AA17" s="9">
        <v>18845.0</v>
      </c>
      <c r="AB17" s="9">
        <v>381.0</v>
      </c>
      <c r="AC17" s="9">
        <v>9580.0</v>
      </c>
      <c r="AD17" s="9">
        <v>0.0</v>
      </c>
      <c r="AE17" s="9">
        <v>6657.0</v>
      </c>
    </row>
    <row r="18">
      <c r="A18" s="4">
        <v>5.0</v>
      </c>
      <c r="B18" s="22">
        <v>0.01733</v>
      </c>
      <c r="C18" s="4">
        <v>34.0</v>
      </c>
      <c r="D18" s="4">
        <v>21685.0</v>
      </c>
      <c r="E18" s="4">
        <v>22956.0</v>
      </c>
      <c r="F18" s="4">
        <v>19518.0</v>
      </c>
      <c r="G18" s="4">
        <v>9822.0</v>
      </c>
      <c r="H18" s="4">
        <v>6606.0</v>
      </c>
      <c r="I18" s="4">
        <v>6634.0</v>
      </c>
      <c r="J18" s="4">
        <v>888.0</v>
      </c>
      <c r="K18" s="4">
        <v>18630.0</v>
      </c>
      <c r="L18" s="4">
        <v>381.0</v>
      </c>
      <c r="M18" s="4">
        <v>9441.0</v>
      </c>
      <c r="N18" s="4">
        <v>1.0</v>
      </c>
      <c r="O18" s="4">
        <v>6605.0</v>
      </c>
      <c r="Q18" s="4">
        <v>5.0</v>
      </c>
      <c r="R18" s="22">
        <v>0.016878</v>
      </c>
      <c r="S18" s="4">
        <v>19.0</v>
      </c>
      <c r="T18" s="4">
        <v>21685.0</v>
      </c>
      <c r="U18" s="4">
        <v>22956.0</v>
      </c>
      <c r="V18" s="4">
        <v>19518.0</v>
      </c>
      <c r="W18" s="4">
        <v>9822.0</v>
      </c>
      <c r="X18" s="4">
        <v>6606.0</v>
      </c>
      <c r="Y18" s="4">
        <v>6634.0</v>
      </c>
      <c r="Z18" s="4">
        <v>888.0</v>
      </c>
      <c r="AA18" s="4">
        <v>18630.0</v>
      </c>
      <c r="AB18" s="4">
        <v>381.0</v>
      </c>
      <c r="AC18" s="4">
        <v>9441.0</v>
      </c>
      <c r="AD18" s="4">
        <v>1.0</v>
      </c>
      <c r="AE18" s="4">
        <v>6605.0</v>
      </c>
    </row>
    <row r="19">
      <c r="A19" s="9">
        <v>6.0</v>
      </c>
      <c r="B19" s="23">
        <v>0.025486</v>
      </c>
      <c r="C19" s="9">
        <v>31.0</v>
      </c>
      <c r="D19" s="9">
        <v>21757.0</v>
      </c>
      <c r="E19" s="9">
        <v>22957.0</v>
      </c>
      <c r="F19" s="9">
        <v>19704.0</v>
      </c>
      <c r="G19" s="9">
        <v>9839.0</v>
      </c>
      <c r="H19" s="9">
        <v>6488.0</v>
      </c>
      <c r="I19" s="9">
        <v>6548.0</v>
      </c>
      <c r="J19" s="9">
        <v>780.0</v>
      </c>
      <c r="K19" s="9">
        <v>18924.0</v>
      </c>
      <c r="L19" s="9">
        <v>380.0</v>
      </c>
      <c r="M19" s="9">
        <v>9459.0</v>
      </c>
      <c r="N19" s="9">
        <v>2.0</v>
      </c>
      <c r="O19" s="9">
        <v>6486.0</v>
      </c>
      <c r="Q19" s="9">
        <v>6.0</v>
      </c>
      <c r="R19" s="23">
        <v>0.02174</v>
      </c>
      <c r="S19" s="9">
        <v>19.0</v>
      </c>
      <c r="T19" s="9">
        <v>21757.0</v>
      </c>
      <c r="U19" s="9">
        <v>22957.0</v>
      </c>
      <c r="V19" s="9">
        <v>19704.0</v>
      </c>
      <c r="W19" s="9">
        <v>9839.0</v>
      </c>
      <c r="X19" s="9">
        <v>6488.0</v>
      </c>
      <c r="Y19" s="9">
        <v>6548.0</v>
      </c>
      <c r="Z19" s="9">
        <v>780.0</v>
      </c>
      <c r="AA19" s="9">
        <v>18924.0</v>
      </c>
      <c r="AB19" s="9">
        <v>380.0</v>
      </c>
      <c r="AC19" s="9">
        <v>9459.0</v>
      </c>
      <c r="AD19" s="9">
        <v>2.0</v>
      </c>
      <c r="AE19" s="9">
        <v>6486.0</v>
      </c>
    </row>
    <row r="20">
      <c r="A20" s="4">
        <v>7.0</v>
      </c>
      <c r="B20" s="22">
        <v>0.026743</v>
      </c>
      <c r="C20" s="4">
        <v>32.0</v>
      </c>
      <c r="D20" s="4">
        <v>21730.0</v>
      </c>
      <c r="E20" s="4">
        <v>22970.0</v>
      </c>
      <c r="F20" s="4">
        <v>19577.0</v>
      </c>
      <c r="G20" s="4">
        <v>9863.0</v>
      </c>
      <c r="H20" s="4">
        <v>6631.0</v>
      </c>
      <c r="I20" s="4">
        <v>6495.0</v>
      </c>
      <c r="J20" s="4">
        <v>846.0</v>
      </c>
      <c r="K20" s="4">
        <v>18731.0</v>
      </c>
      <c r="L20" s="4">
        <v>402.0</v>
      </c>
      <c r="M20" s="4">
        <v>9461.0</v>
      </c>
      <c r="N20" s="4">
        <v>1.0</v>
      </c>
      <c r="O20" s="4">
        <v>6630.0</v>
      </c>
      <c r="Q20" s="4">
        <v>7.0</v>
      </c>
      <c r="R20" s="22">
        <v>0.023</v>
      </c>
      <c r="S20" s="4">
        <v>19.0</v>
      </c>
      <c r="T20" s="4">
        <v>21730.0</v>
      </c>
      <c r="U20" s="4">
        <v>22970.0</v>
      </c>
      <c r="V20" s="4">
        <v>19577.0</v>
      </c>
      <c r="W20" s="4">
        <v>9863.0</v>
      </c>
      <c r="X20" s="4">
        <v>6631.0</v>
      </c>
      <c r="Y20" s="4">
        <v>6495.0</v>
      </c>
      <c r="Z20" s="4">
        <v>846.0</v>
      </c>
      <c r="AA20" s="4">
        <v>18731.0</v>
      </c>
      <c r="AB20" s="4">
        <v>402.0</v>
      </c>
      <c r="AC20" s="4">
        <v>9461.0</v>
      </c>
      <c r="AD20" s="4">
        <v>1.0</v>
      </c>
      <c r="AE20" s="4">
        <v>6630.0</v>
      </c>
    </row>
    <row r="21" ht="15.75" customHeight="1">
      <c r="A21" s="9">
        <v>8.0</v>
      </c>
      <c r="B21" s="23">
        <v>0.027445</v>
      </c>
      <c r="C21" s="9">
        <v>37.0</v>
      </c>
      <c r="D21" s="9">
        <v>21545.0</v>
      </c>
      <c r="E21" s="9">
        <v>22771.0</v>
      </c>
      <c r="F21" s="9">
        <v>19613.0</v>
      </c>
      <c r="G21" s="9">
        <v>9827.0</v>
      </c>
      <c r="H21" s="9">
        <v>6550.0</v>
      </c>
      <c r="I21" s="9">
        <v>6775.0</v>
      </c>
      <c r="J21" s="9">
        <v>866.0</v>
      </c>
      <c r="K21" s="9">
        <v>18747.0</v>
      </c>
      <c r="L21" s="9">
        <v>385.0</v>
      </c>
      <c r="M21" s="9">
        <v>9442.0</v>
      </c>
      <c r="N21" s="9">
        <v>2.0</v>
      </c>
      <c r="O21" s="9">
        <v>6548.0</v>
      </c>
      <c r="Q21" s="9">
        <v>8.0</v>
      </c>
      <c r="R21" s="23">
        <v>0.023751</v>
      </c>
      <c r="S21" s="9">
        <v>19.0</v>
      </c>
      <c r="T21" s="9">
        <v>21545.0</v>
      </c>
      <c r="U21" s="9">
        <v>22771.0</v>
      </c>
      <c r="V21" s="9">
        <v>19613.0</v>
      </c>
      <c r="W21" s="9">
        <v>9827.0</v>
      </c>
      <c r="X21" s="9">
        <v>6550.0</v>
      </c>
      <c r="Y21" s="9">
        <v>6775.0</v>
      </c>
      <c r="Z21" s="9">
        <v>866.0</v>
      </c>
      <c r="AA21" s="9">
        <v>18747.0</v>
      </c>
      <c r="AB21" s="9">
        <v>385.0</v>
      </c>
      <c r="AC21" s="9">
        <v>9442.0</v>
      </c>
      <c r="AD21" s="9">
        <v>2.0</v>
      </c>
      <c r="AE21" s="9">
        <v>6548.0</v>
      </c>
    </row>
    <row r="22" ht="15.75" customHeight="1">
      <c r="A22" s="4">
        <v>9.0</v>
      </c>
      <c r="B22" s="22">
        <v>0.026184</v>
      </c>
      <c r="C22" s="4">
        <v>34.0</v>
      </c>
      <c r="D22" s="4">
        <v>21821.0</v>
      </c>
      <c r="E22" s="4">
        <v>23112.0</v>
      </c>
      <c r="F22" s="4">
        <v>19542.0</v>
      </c>
      <c r="G22" s="4">
        <v>9785.0</v>
      </c>
      <c r="H22" s="4">
        <v>6540.0</v>
      </c>
      <c r="I22" s="4">
        <v>6557.0</v>
      </c>
      <c r="J22" s="4">
        <v>849.0</v>
      </c>
      <c r="K22" s="4">
        <v>18693.0</v>
      </c>
      <c r="L22" s="4">
        <v>343.0</v>
      </c>
      <c r="M22" s="4">
        <v>9442.0</v>
      </c>
      <c r="N22" s="4">
        <v>1.0</v>
      </c>
      <c r="O22" s="4">
        <v>6539.0</v>
      </c>
      <c r="Q22" s="4">
        <v>9.0</v>
      </c>
      <c r="R22" s="22">
        <v>0.01743</v>
      </c>
      <c r="S22" s="4">
        <v>19.0</v>
      </c>
      <c r="T22" s="4">
        <v>21821.0</v>
      </c>
      <c r="U22" s="4">
        <v>23112.0</v>
      </c>
      <c r="V22" s="4">
        <v>19542.0</v>
      </c>
      <c r="W22" s="4">
        <v>9785.0</v>
      </c>
      <c r="X22" s="4">
        <v>6540.0</v>
      </c>
      <c r="Y22" s="4">
        <v>6557.0</v>
      </c>
      <c r="Z22" s="4">
        <v>849.0</v>
      </c>
      <c r="AA22" s="4">
        <v>18693.0</v>
      </c>
      <c r="AB22" s="4">
        <v>343.0</v>
      </c>
      <c r="AC22" s="4">
        <v>9442.0</v>
      </c>
      <c r="AD22" s="4">
        <v>1.0</v>
      </c>
      <c r="AE22" s="4">
        <v>6539.0</v>
      </c>
    </row>
    <row r="23" ht="15.75" customHeight="1">
      <c r="A23" s="9">
        <v>10.0</v>
      </c>
      <c r="B23" s="23">
        <v>0.019428</v>
      </c>
      <c r="C23" s="9">
        <v>30.0</v>
      </c>
      <c r="D23" s="9">
        <v>21570.0</v>
      </c>
      <c r="E23" s="9">
        <v>22774.0</v>
      </c>
      <c r="F23" s="9">
        <v>19832.0</v>
      </c>
      <c r="G23" s="9">
        <v>9804.0</v>
      </c>
      <c r="H23" s="9">
        <v>6656.0</v>
      </c>
      <c r="I23" s="9">
        <v>6470.0</v>
      </c>
      <c r="J23" s="9">
        <v>772.0</v>
      </c>
      <c r="K23" s="9">
        <v>19060.0</v>
      </c>
      <c r="L23" s="9">
        <v>358.0</v>
      </c>
      <c r="M23" s="9">
        <v>9446.0</v>
      </c>
      <c r="N23" s="9">
        <v>1.0</v>
      </c>
      <c r="O23" s="9">
        <v>6655.0</v>
      </c>
      <c r="Q23" s="9">
        <v>10.0</v>
      </c>
      <c r="R23" s="23">
        <v>0.022118</v>
      </c>
      <c r="S23" s="9">
        <v>19.0</v>
      </c>
      <c r="T23" s="9">
        <v>21570.0</v>
      </c>
      <c r="U23" s="9">
        <v>22774.0</v>
      </c>
      <c r="V23" s="9">
        <v>19832.0</v>
      </c>
      <c r="W23" s="9">
        <v>9804.0</v>
      </c>
      <c r="X23" s="9">
        <v>6656.0</v>
      </c>
      <c r="Y23" s="9">
        <v>6470.0</v>
      </c>
      <c r="Z23" s="9">
        <v>772.0</v>
      </c>
      <c r="AA23" s="9">
        <v>19060.0</v>
      </c>
      <c r="AB23" s="9">
        <v>358.0</v>
      </c>
      <c r="AC23" s="9">
        <v>9446.0</v>
      </c>
      <c r="AD23" s="9">
        <v>1.0</v>
      </c>
      <c r="AE23" s="9">
        <v>6655.0</v>
      </c>
    </row>
    <row r="24" ht="15.75" customHeight="1">
      <c r="A24" s="4">
        <v>11.0</v>
      </c>
      <c r="B24" s="22">
        <v>0.017953</v>
      </c>
      <c r="C24" s="4">
        <v>30.0</v>
      </c>
      <c r="D24" s="4">
        <v>21617.0</v>
      </c>
      <c r="E24" s="4">
        <v>22825.0</v>
      </c>
      <c r="F24" s="4">
        <v>19535.0</v>
      </c>
      <c r="G24" s="4">
        <v>9854.0</v>
      </c>
      <c r="H24" s="4">
        <v>6731.0</v>
      </c>
      <c r="I24" s="4">
        <v>6591.0</v>
      </c>
      <c r="J24" s="4">
        <v>855.0</v>
      </c>
      <c r="K24" s="4">
        <v>18680.0</v>
      </c>
      <c r="L24" s="4">
        <v>381.0</v>
      </c>
      <c r="M24" s="4">
        <v>9473.0</v>
      </c>
      <c r="N24" s="4">
        <v>1.0</v>
      </c>
      <c r="O24" s="4">
        <v>6730.0</v>
      </c>
      <c r="Q24" s="4">
        <v>11.0</v>
      </c>
      <c r="R24" s="22">
        <v>0.01834</v>
      </c>
      <c r="S24" s="4">
        <v>19.0</v>
      </c>
      <c r="T24" s="4">
        <v>21617.0</v>
      </c>
      <c r="U24" s="4">
        <v>22825.0</v>
      </c>
      <c r="V24" s="4">
        <v>19535.0</v>
      </c>
      <c r="W24" s="4">
        <v>9854.0</v>
      </c>
      <c r="X24" s="4">
        <v>6731.0</v>
      </c>
      <c r="Y24" s="4">
        <v>6591.0</v>
      </c>
      <c r="Z24" s="4">
        <v>855.0</v>
      </c>
      <c r="AA24" s="4">
        <v>18680.0</v>
      </c>
      <c r="AB24" s="4">
        <v>381.0</v>
      </c>
      <c r="AC24" s="4">
        <v>9473.0</v>
      </c>
      <c r="AD24" s="4">
        <v>1.0</v>
      </c>
      <c r="AE24" s="4">
        <v>6730.0</v>
      </c>
    </row>
    <row r="25" ht="15.75" customHeight="1">
      <c r="A25" s="9">
        <v>12.0</v>
      </c>
      <c r="B25" s="23">
        <v>0.019604</v>
      </c>
      <c r="C25" s="9">
        <v>35.0</v>
      </c>
      <c r="D25" s="9">
        <v>21649.0</v>
      </c>
      <c r="E25" s="9">
        <v>22872.0</v>
      </c>
      <c r="F25" s="9">
        <v>19506.0</v>
      </c>
      <c r="G25" s="9">
        <v>9913.0</v>
      </c>
      <c r="H25" s="9">
        <v>6634.0</v>
      </c>
      <c r="I25" s="9">
        <v>6611.0</v>
      </c>
      <c r="J25" s="9">
        <v>820.0</v>
      </c>
      <c r="K25" s="9">
        <v>18686.0</v>
      </c>
      <c r="L25" s="9">
        <v>352.0</v>
      </c>
      <c r="M25" s="9">
        <v>9561.0</v>
      </c>
      <c r="N25" s="9">
        <v>1.0</v>
      </c>
      <c r="O25" s="9">
        <v>6633.0</v>
      </c>
      <c r="Q25" s="9">
        <v>12.0</v>
      </c>
      <c r="R25" s="23">
        <v>0.016639</v>
      </c>
      <c r="S25" s="9">
        <v>19.0</v>
      </c>
      <c r="T25" s="9">
        <v>21649.0</v>
      </c>
      <c r="U25" s="9">
        <v>22872.0</v>
      </c>
      <c r="V25" s="9">
        <v>19506.0</v>
      </c>
      <c r="W25" s="9">
        <v>9913.0</v>
      </c>
      <c r="X25" s="9">
        <v>6634.0</v>
      </c>
      <c r="Y25" s="9">
        <v>6611.0</v>
      </c>
      <c r="Z25" s="9">
        <v>820.0</v>
      </c>
      <c r="AA25" s="9">
        <v>18686.0</v>
      </c>
      <c r="AB25" s="9">
        <v>352.0</v>
      </c>
      <c r="AC25" s="9">
        <v>9561.0</v>
      </c>
      <c r="AD25" s="9">
        <v>1.0</v>
      </c>
      <c r="AE25" s="9">
        <v>6633.0</v>
      </c>
    </row>
    <row r="26" ht="15.75" customHeight="1">
      <c r="A26" s="4">
        <v>13.0</v>
      </c>
      <c r="B26" s="22">
        <v>0.015344</v>
      </c>
      <c r="C26" s="4">
        <v>33.0</v>
      </c>
      <c r="D26" s="4">
        <v>21666.0</v>
      </c>
      <c r="E26" s="4">
        <v>22907.0</v>
      </c>
      <c r="F26" s="4">
        <v>19713.0</v>
      </c>
      <c r="G26" s="4">
        <v>9816.0</v>
      </c>
      <c r="H26" s="4">
        <v>6571.0</v>
      </c>
      <c r="I26" s="4">
        <v>6529.0</v>
      </c>
      <c r="J26" s="4">
        <v>795.0</v>
      </c>
      <c r="K26" s="4">
        <v>18918.0</v>
      </c>
      <c r="L26" s="4">
        <v>374.0</v>
      </c>
      <c r="M26" s="4">
        <v>9442.0</v>
      </c>
      <c r="N26" s="4">
        <v>4.0</v>
      </c>
      <c r="O26" s="4">
        <v>6567.0</v>
      </c>
      <c r="Q26" s="4">
        <v>13.0</v>
      </c>
      <c r="R26" s="22">
        <v>0.015284</v>
      </c>
      <c r="S26" s="4">
        <v>19.0</v>
      </c>
      <c r="T26" s="4">
        <v>21666.0</v>
      </c>
      <c r="U26" s="4">
        <v>22907.0</v>
      </c>
      <c r="V26" s="4">
        <v>19713.0</v>
      </c>
      <c r="W26" s="4">
        <v>9816.0</v>
      </c>
      <c r="X26" s="4">
        <v>6571.0</v>
      </c>
      <c r="Y26" s="4">
        <v>6529.0</v>
      </c>
      <c r="Z26" s="4">
        <v>795.0</v>
      </c>
      <c r="AA26" s="4">
        <v>18918.0</v>
      </c>
      <c r="AB26" s="4">
        <v>374.0</v>
      </c>
      <c r="AC26" s="4">
        <v>9442.0</v>
      </c>
      <c r="AD26" s="4">
        <v>4.0</v>
      </c>
      <c r="AE26" s="4">
        <v>6567.0</v>
      </c>
    </row>
    <row r="27" ht="15.75" customHeight="1">
      <c r="A27" s="9">
        <v>14.0</v>
      </c>
      <c r="B27" s="23">
        <v>0.018977</v>
      </c>
      <c r="C27" s="9">
        <v>33.0</v>
      </c>
      <c r="D27" s="9">
        <v>21830.0</v>
      </c>
      <c r="E27" s="9">
        <v>23086.0</v>
      </c>
      <c r="F27" s="9">
        <v>19695.0</v>
      </c>
      <c r="G27" s="9">
        <v>9791.0</v>
      </c>
      <c r="H27" s="9">
        <v>6398.0</v>
      </c>
      <c r="I27" s="9">
        <v>6566.0</v>
      </c>
      <c r="J27" s="9">
        <v>805.0</v>
      </c>
      <c r="K27" s="9">
        <v>18890.0</v>
      </c>
      <c r="L27" s="9">
        <v>398.0</v>
      </c>
      <c r="M27" s="9">
        <v>9393.0</v>
      </c>
      <c r="N27" s="9">
        <v>1.0</v>
      </c>
      <c r="O27" s="9">
        <v>6397.0</v>
      </c>
      <c r="Q27" s="9">
        <v>14.0</v>
      </c>
      <c r="R27" s="23">
        <v>0.02171</v>
      </c>
      <c r="S27" s="9">
        <v>19.0</v>
      </c>
      <c r="T27" s="9">
        <v>21830.0</v>
      </c>
      <c r="U27" s="9">
        <v>23086.0</v>
      </c>
      <c r="V27" s="9">
        <v>19695.0</v>
      </c>
      <c r="W27" s="9">
        <v>9791.0</v>
      </c>
      <c r="X27" s="9">
        <v>6398.0</v>
      </c>
      <c r="Y27" s="9">
        <v>6566.0</v>
      </c>
      <c r="Z27" s="9">
        <v>805.0</v>
      </c>
      <c r="AA27" s="9">
        <v>18890.0</v>
      </c>
      <c r="AB27" s="9">
        <v>398.0</v>
      </c>
      <c r="AC27" s="9">
        <v>9393.0</v>
      </c>
      <c r="AD27" s="9">
        <v>1.0</v>
      </c>
      <c r="AE27" s="9">
        <v>6397.0</v>
      </c>
    </row>
    <row r="28" ht="15.75" customHeight="1">
      <c r="A28" s="4">
        <v>15.0</v>
      </c>
      <c r="B28" s="22">
        <v>0.015778</v>
      </c>
      <c r="C28" s="4">
        <v>33.0</v>
      </c>
      <c r="D28" s="4">
        <v>21644.0</v>
      </c>
      <c r="E28" s="4">
        <v>22900.0</v>
      </c>
      <c r="F28" s="4">
        <v>19659.0</v>
      </c>
      <c r="G28" s="4">
        <v>9821.0</v>
      </c>
      <c r="H28" s="4">
        <v>6455.0</v>
      </c>
      <c r="I28" s="4">
        <v>6701.0</v>
      </c>
      <c r="J28" s="4">
        <v>832.0</v>
      </c>
      <c r="K28" s="4">
        <v>18827.0</v>
      </c>
      <c r="L28" s="4">
        <v>373.0</v>
      </c>
      <c r="M28" s="4">
        <v>9448.0</v>
      </c>
      <c r="N28" s="4">
        <v>3.0</v>
      </c>
      <c r="O28" s="4">
        <v>6452.0</v>
      </c>
      <c r="Q28" s="4">
        <v>15.0</v>
      </c>
      <c r="R28" s="22">
        <v>0.014804</v>
      </c>
      <c r="S28" s="4">
        <v>20.0</v>
      </c>
      <c r="T28" s="4">
        <v>21644.0</v>
      </c>
      <c r="U28" s="4">
        <v>22900.0</v>
      </c>
      <c r="V28" s="4">
        <v>19659.0</v>
      </c>
      <c r="W28" s="4">
        <v>9821.0</v>
      </c>
      <c r="X28" s="4">
        <v>6455.0</v>
      </c>
      <c r="Y28" s="4">
        <v>6701.0</v>
      </c>
      <c r="Z28" s="4">
        <v>832.0</v>
      </c>
      <c r="AA28" s="4">
        <v>18827.0</v>
      </c>
      <c r="AB28" s="4">
        <v>373.0</v>
      </c>
      <c r="AC28" s="4">
        <v>9448.0</v>
      </c>
      <c r="AD28" s="4">
        <v>3.0</v>
      </c>
      <c r="AE28" s="4">
        <v>6452.0</v>
      </c>
    </row>
    <row r="29" ht="15.75" customHeight="1">
      <c r="A29" s="9">
        <v>16.0</v>
      </c>
      <c r="B29" s="23">
        <v>0.019114</v>
      </c>
      <c r="C29" s="9">
        <v>34.0</v>
      </c>
      <c r="D29" s="9">
        <v>21673.0</v>
      </c>
      <c r="E29" s="9">
        <v>22925.0</v>
      </c>
      <c r="F29" s="9">
        <v>19801.0</v>
      </c>
      <c r="G29" s="9">
        <v>9841.0</v>
      </c>
      <c r="H29" s="9">
        <v>6421.0</v>
      </c>
      <c r="I29" s="9">
        <v>6548.0</v>
      </c>
      <c r="J29" s="9">
        <v>848.0</v>
      </c>
      <c r="K29" s="9">
        <v>18953.0</v>
      </c>
      <c r="L29" s="9">
        <v>371.0</v>
      </c>
      <c r="M29" s="9">
        <v>9470.0</v>
      </c>
      <c r="N29" s="9">
        <v>1.0</v>
      </c>
      <c r="O29" s="9">
        <v>6420.0</v>
      </c>
      <c r="Q29" s="9">
        <v>16.0</v>
      </c>
      <c r="R29" s="23">
        <v>0.01931</v>
      </c>
      <c r="S29" s="9">
        <v>19.0</v>
      </c>
      <c r="T29" s="9">
        <v>21673.0</v>
      </c>
      <c r="U29" s="9">
        <v>22925.0</v>
      </c>
      <c r="V29" s="9">
        <v>19801.0</v>
      </c>
      <c r="W29" s="9">
        <v>9841.0</v>
      </c>
      <c r="X29" s="9">
        <v>6421.0</v>
      </c>
      <c r="Y29" s="9">
        <v>6548.0</v>
      </c>
      <c r="Z29" s="9">
        <v>848.0</v>
      </c>
      <c r="AA29" s="9">
        <v>18953.0</v>
      </c>
      <c r="AB29" s="9">
        <v>371.0</v>
      </c>
      <c r="AC29" s="9">
        <v>9470.0</v>
      </c>
      <c r="AD29" s="9">
        <v>1.0</v>
      </c>
      <c r="AE29" s="9">
        <v>6420.0</v>
      </c>
    </row>
    <row r="30" ht="15.75" customHeight="1">
      <c r="A30" s="4">
        <v>17.0</v>
      </c>
      <c r="B30" s="22">
        <v>0.016924</v>
      </c>
      <c r="C30" s="4">
        <v>33.0</v>
      </c>
      <c r="D30" s="4">
        <v>21707.0</v>
      </c>
      <c r="E30" s="4">
        <v>22932.0</v>
      </c>
      <c r="F30" s="4">
        <v>19669.0</v>
      </c>
      <c r="G30" s="4">
        <v>9798.0</v>
      </c>
      <c r="H30" s="4">
        <v>6519.0</v>
      </c>
      <c r="I30" s="4">
        <v>6618.0</v>
      </c>
      <c r="J30" s="4">
        <v>796.0</v>
      </c>
      <c r="K30" s="4">
        <v>18873.0</v>
      </c>
      <c r="L30" s="4">
        <v>364.0</v>
      </c>
      <c r="M30" s="4">
        <v>9434.0</v>
      </c>
      <c r="N30" s="4">
        <v>0.0</v>
      </c>
      <c r="O30" s="4">
        <v>6519.0</v>
      </c>
      <c r="Q30" s="4">
        <v>17.0</v>
      </c>
      <c r="R30" s="22">
        <v>0.01608</v>
      </c>
      <c r="S30" s="4">
        <v>20.0</v>
      </c>
      <c r="T30" s="4">
        <v>21707.0</v>
      </c>
      <c r="U30" s="4">
        <v>22932.0</v>
      </c>
      <c r="V30" s="4">
        <v>19669.0</v>
      </c>
      <c r="W30" s="4">
        <v>9798.0</v>
      </c>
      <c r="X30" s="4">
        <v>6519.0</v>
      </c>
      <c r="Y30" s="4">
        <v>6618.0</v>
      </c>
      <c r="Z30" s="4">
        <v>796.0</v>
      </c>
      <c r="AA30" s="4">
        <v>18873.0</v>
      </c>
      <c r="AB30" s="4">
        <v>364.0</v>
      </c>
      <c r="AC30" s="4">
        <v>9434.0</v>
      </c>
      <c r="AD30" s="4">
        <v>0.0</v>
      </c>
      <c r="AE30" s="4">
        <v>6519.0</v>
      </c>
    </row>
    <row r="31" ht="15.75" customHeight="1">
      <c r="A31" s="9">
        <v>18.0</v>
      </c>
      <c r="B31" s="23">
        <v>0.018722</v>
      </c>
      <c r="C31" s="9">
        <v>32.0</v>
      </c>
      <c r="D31" s="9">
        <v>21864.0</v>
      </c>
      <c r="E31" s="9">
        <v>23079.0</v>
      </c>
      <c r="F31" s="9">
        <v>19531.0</v>
      </c>
      <c r="G31" s="9">
        <v>9876.0</v>
      </c>
      <c r="H31" s="9">
        <v>6499.0</v>
      </c>
      <c r="I31" s="9">
        <v>6551.0</v>
      </c>
      <c r="J31" s="9">
        <v>835.0</v>
      </c>
      <c r="K31" s="9">
        <v>18696.0</v>
      </c>
      <c r="L31" s="9">
        <v>337.0</v>
      </c>
      <c r="M31" s="9">
        <v>9539.0</v>
      </c>
      <c r="N31" s="9">
        <v>2.0</v>
      </c>
      <c r="O31" s="9">
        <v>6497.0</v>
      </c>
      <c r="Q31" s="9">
        <v>18.0</v>
      </c>
      <c r="R31" s="23">
        <v>0.018384</v>
      </c>
      <c r="S31" s="9">
        <v>19.0</v>
      </c>
      <c r="T31" s="9">
        <v>21864.0</v>
      </c>
      <c r="U31" s="9">
        <v>23079.0</v>
      </c>
      <c r="V31" s="9">
        <v>19531.0</v>
      </c>
      <c r="W31" s="9">
        <v>9876.0</v>
      </c>
      <c r="X31" s="9">
        <v>6499.0</v>
      </c>
      <c r="Y31" s="9">
        <v>6551.0</v>
      </c>
      <c r="Z31" s="9">
        <v>835.0</v>
      </c>
      <c r="AA31" s="9">
        <v>18696.0</v>
      </c>
      <c r="AB31" s="9">
        <v>337.0</v>
      </c>
      <c r="AC31" s="9">
        <v>9539.0</v>
      </c>
      <c r="AD31" s="9">
        <v>2.0</v>
      </c>
      <c r="AE31" s="9">
        <v>6497.0</v>
      </c>
    </row>
    <row r="32" ht="15.75" customHeight="1">
      <c r="A32" s="4">
        <v>19.0</v>
      </c>
      <c r="B32" s="22">
        <v>0.016986</v>
      </c>
      <c r="C32" s="4">
        <v>32.0</v>
      </c>
      <c r="D32" s="4">
        <v>21785.0</v>
      </c>
      <c r="E32" s="4">
        <v>23033.0</v>
      </c>
      <c r="F32" s="4">
        <v>19536.0</v>
      </c>
      <c r="G32" s="4">
        <v>9800.0</v>
      </c>
      <c r="H32" s="4">
        <v>6507.0</v>
      </c>
      <c r="I32" s="4">
        <v>6660.0</v>
      </c>
      <c r="J32" s="4">
        <v>835.0</v>
      </c>
      <c r="K32" s="4">
        <v>18701.0</v>
      </c>
      <c r="L32" s="4">
        <v>363.0</v>
      </c>
      <c r="M32" s="4">
        <v>9437.0</v>
      </c>
      <c r="N32" s="4">
        <v>0.0</v>
      </c>
      <c r="O32" s="4">
        <v>6507.0</v>
      </c>
      <c r="Q32" s="4">
        <v>19.0</v>
      </c>
      <c r="R32" s="22">
        <v>0.014886</v>
      </c>
      <c r="S32" s="4">
        <v>19.0</v>
      </c>
      <c r="T32" s="4">
        <v>21785.0</v>
      </c>
      <c r="U32" s="4">
        <v>23033.0</v>
      </c>
      <c r="V32" s="4">
        <v>19536.0</v>
      </c>
      <c r="W32" s="4">
        <v>9800.0</v>
      </c>
      <c r="X32" s="4">
        <v>6507.0</v>
      </c>
      <c r="Y32" s="4">
        <v>6660.0</v>
      </c>
      <c r="Z32" s="4">
        <v>835.0</v>
      </c>
      <c r="AA32" s="4">
        <v>18701.0</v>
      </c>
      <c r="AB32" s="4">
        <v>363.0</v>
      </c>
      <c r="AC32" s="4">
        <v>9437.0</v>
      </c>
      <c r="AD32" s="4">
        <v>0.0</v>
      </c>
      <c r="AE32" s="4">
        <v>6507.0</v>
      </c>
    </row>
    <row r="33" ht="15.75" customHeight="1">
      <c r="A33" s="9">
        <v>20.0</v>
      </c>
      <c r="B33" s="23">
        <v>0.015015</v>
      </c>
      <c r="C33" s="9">
        <v>30.0</v>
      </c>
      <c r="D33" s="9">
        <v>21750.0</v>
      </c>
      <c r="E33" s="9">
        <v>23036.0</v>
      </c>
      <c r="F33" s="9">
        <v>19558.0</v>
      </c>
      <c r="G33" s="9">
        <v>9871.0</v>
      </c>
      <c r="H33" s="9">
        <v>6560.0</v>
      </c>
      <c r="I33" s="9">
        <v>6511.0</v>
      </c>
      <c r="J33" s="9">
        <v>794.0</v>
      </c>
      <c r="K33" s="9">
        <v>18764.0</v>
      </c>
      <c r="L33" s="9">
        <v>379.0</v>
      </c>
      <c r="M33" s="9">
        <v>9492.0</v>
      </c>
      <c r="N33" s="9">
        <v>1.0</v>
      </c>
      <c r="O33" s="9">
        <v>6559.0</v>
      </c>
      <c r="Q33" s="9">
        <v>20.0</v>
      </c>
      <c r="R33" s="23">
        <v>0.020523</v>
      </c>
      <c r="S33" s="9">
        <v>20.0</v>
      </c>
      <c r="T33" s="9">
        <v>21750.0</v>
      </c>
      <c r="U33" s="9">
        <v>23036.0</v>
      </c>
      <c r="V33" s="9">
        <v>19558.0</v>
      </c>
      <c r="W33" s="9">
        <v>9871.0</v>
      </c>
      <c r="X33" s="9">
        <v>6560.0</v>
      </c>
      <c r="Y33" s="9">
        <v>6511.0</v>
      </c>
      <c r="Z33" s="9">
        <v>794.0</v>
      </c>
      <c r="AA33" s="9">
        <v>18764.0</v>
      </c>
      <c r="AB33" s="9">
        <v>379.0</v>
      </c>
      <c r="AC33" s="9">
        <v>9492.0</v>
      </c>
      <c r="AD33" s="9">
        <v>1.0</v>
      </c>
      <c r="AE33" s="9">
        <v>6559.0</v>
      </c>
    </row>
    <row r="34" ht="15.75" customHeight="1">
      <c r="A34" s="4">
        <v>21.0</v>
      </c>
      <c r="B34" s="22">
        <v>0.015312</v>
      </c>
      <c r="C34" s="4">
        <v>33.0</v>
      </c>
      <c r="D34" s="4">
        <v>21614.0</v>
      </c>
      <c r="E34" s="4">
        <v>22840.0</v>
      </c>
      <c r="F34" s="4">
        <v>19694.0</v>
      </c>
      <c r="G34" s="4">
        <v>9895.0</v>
      </c>
      <c r="H34" s="4">
        <v>6521.0</v>
      </c>
      <c r="I34" s="4">
        <v>6586.0</v>
      </c>
      <c r="J34" s="4">
        <v>836.0</v>
      </c>
      <c r="K34" s="4">
        <v>18858.0</v>
      </c>
      <c r="L34" s="4">
        <v>368.0</v>
      </c>
      <c r="M34" s="4">
        <v>9527.0</v>
      </c>
      <c r="N34" s="4">
        <v>3.0</v>
      </c>
      <c r="O34" s="4">
        <v>6518.0</v>
      </c>
      <c r="Q34" s="4">
        <v>21.0</v>
      </c>
      <c r="R34" s="22">
        <v>0.017426</v>
      </c>
      <c r="S34" s="4">
        <v>18.0</v>
      </c>
      <c r="T34" s="4">
        <v>21614.0</v>
      </c>
      <c r="U34" s="4">
        <v>22840.0</v>
      </c>
      <c r="V34" s="4">
        <v>19694.0</v>
      </c>
      <c r="W34" s="4">
        <v>9895.0</v>
      </c>
      <c r="X34" s="4">
        <v>6521.0</v>
      </c>
      <c r="Y34" s="4">
        <v>6586.0</v>
      </c>
      <c r="Z34" s="4">
        <v>836.0</v>
      </c>
      <c r="AA34" s="4">
        <v>18858.0</v>
      </c>
      <c r="AB34" s="4">
        <v>368.0</v>
      </c>
      <c r="AC34" s="4">
        <v>9527.0</v>
      </c>
      <c r="AD34" s="4">
        <v>3.0</v>
      </c>
      <c r="AE34" s="4">
        <v>6518.0</v>
      </c>
    </row>
    <row r="35" ht="15.75" customHeight="1">
      <c r="A35" s="9">
        <v>22.0</v>
      </c>
      <c r="B35" s="23">
        <v>0.02219</v>
      </c>
      <c r="C35" s="9">
        <v>31.0</v>
      </c>
      <c r="D35" s="9">
        <v>21691.0</v>
      </c>
      <c r="E35" s="9">
        <v>22994.0</v>
      </c>
      <c r="F35" s="9">
        <v>19718.0</v>
      </c>
      <c r="G35" s="9">
        <v>9761.0</v>
      </c>
      <c r="H35" s="9">
        <v>6503.0</v>
      </c>
      <c r="I35" s="9">
        <v>6560.0</v>
      </c>
      <c r="J35" s="9">
        <v>829.0</v>
      </c>
      <c r="K35" s="9">
        <v>18889.0</v>
      </c>
      <c r="L35" s="9">
        <v>365.0</v>
      </c>
      <c r="M35" s="9">
        <v>9396.0</v>
      </c>
      <c r="N35" s="9">
        <v>2.0</v>
      </c>
      <c r="O35" s="9">
        <v>6501.0</v>
      </c>
      <c r="Q35" s="9">
        <v>22.0</v>
      </c>
      <c r="R35" s="23">
        <v>0.022628</v>
      </c>
      <c r="S35" s="9">
        <v>18.0</v>
      </c>
      <c r="T35" s="9">
        <v>21691.0</v>
      </c>
      <c r="U35" s="9">
        <v>22994.0</v>
      </c>
      <c r="V35" s="9">
        <v>19718.0</v>
      </c>
      <c r="W35" s="9">
        <v>9761.0</v>
      </c>
      <c r="X35" s="9">
        <v>6503.0</v>
      </c>
      <c r="Y35" s="9">
        <v>6560.0</v>
      </c>
      <c r="Z35" s="9">
        <v>829.0</v>
      </c>
      <c r="AA35" s="9">
        <v>18889.0</v>
      </c>
      <c r="AB35" s="9">
        <v>365.0</v>
      </c>
      <c r="AC35" s="9">
        <v>9396.0</v>
      </c>
      <c r="AD35" s="9">
        <v>2.0</v>
      </c>
      <c r="AE35" s="9">
        <v>6501.0</v>
      </c>
    </row>
    <row r="36" ht="15.75" customHeight="1">
      <c r="A36" s="4">
        <v>23.0</v>
      </c>
      <c r="B36" s="22">
        <v>0.025168</v>
      </c>
      <c r="C36" s="4">
        <v>33.0</v>
      </c>
      <c r="D36" s="4">
        <v>21727.0</v>
      </c>
      <c r="E36" s="4">
        <v>23028.0</v>
      </c>
      <c r="F36" s="4">
        <v>19579.0</v>
      </c>
      <c r="G36" s="4">
        <v>9750.0</v>
      </c>
      <c r="H36" s="4">
        <v>6551.0</v>
      </c>
      <c r="I36" s="4">
        <v>6628.0</v>
      </c>
      <c r="J36" s="4">
        <v>825.0</v>
      </c>
      <c r="K36" s="4">
        <v>18754.0</v>
      </c>
      <c r="L36" s="4">
        <v>383.0</v>
      </c>
      <c r="M36" s="4">
        <v>9367.0</v>
      </c>
      <c r="N36" s="4">
        <v>2.0</v>
      </c>
      <c r="O36" s="4">
        <v>6549.0</v>
      </c>
      <c r="Q36" s="4">
        <v>23.0</v>
      </c>
      <c r="R36" s="22">
        <v>0.023216</v>
      </c>
      <c r="S36" s="4">
        <v>20.0</v>
      </c>
      <c r="T36" s="4">
        <v>21727.0</v>
      </c>
      <c r="U36" s="4">
        <v>23028.0</v>
      </c>
      <c r="V36" s="4">
        <v>19579.0</v>
      </c>
      <c r="W36" s="4">
        <v>9750.0</v>
      </c>
      <c r="X36" s="4">
        <v>6551.0</v>
      </c>
      <c r="Y36" s="4">
        <v>6628.0</v>
      </c>
      <c r="Z36" s="4">
        <v>825.0</v>
      </c>
      <c r="AA36" s="4">
        <v>18754.0</v>
      </c>
      <c r="AB36" s="4">
        <v>383.0</v>
      </c>
      <c r="AC36" s="4">
        <v>9367.0</v>
      </c>
      <c r="AD36" s="4">
        <v>2.0</v>
      </c>
      <c r="AE36" s="4">
        <v>6549.0</v>
      </c>
    </row>
    <row r="37" ht="15.75" customHeight="1">
      <c r="A37" s="9">
        <v>24.0</v>
      </c>
      <c r="B37" s="23">
        <v>0.02653</v>
      </c>
      <c r="C37" s="9">
        <v>32.0</v>
      </c>
      <c r="D37" s="9">
        <v>21681.0</v>
      </c>
      <c r="E37" s="9">
        <v>22902.0</v>
      </c>
      <c r="F37" s="9">
        <v>19654.0</v>
      </c>
      <c r="G37" s="9">
        <v>9881.0</v>
      </c>
      <c r="H37" s="9">
        <v>6609.0</v>
      </c>
      <c r="I37" s="9">
        <v>6490.0</v>
      </c>
      <c r="J37" s="9">
        <v>853.0</v>
      </c>
      <c r="K37" s="9">
        <v>18801.0</v>
      </c>
      <c r="L37" s="9">
        <v>364.0</v>
      </c>
      <c r="M37" s="9">
        <v>9517.0</v>
      </c>
      <c r="N37" s="9">
        <v>2.0</v>
      </c>
      <c r="O37" s="9">
        <v>6607.0</v>
      </c>
      <c r="Q37" s="9">
        <v>24.0</v>
      </c>
      <c r="R37" s="23">
        <v>0.022126</v>
      </c>
      <c r="S37" s="9">
        <v>20.0</v>
      </c>
      <c r="T37" s="9">
        <v>21681.0</v>
      </c>
      <c r="U37" s="9">
        <v>22902.0</v>
      </c>
      <c r="V37" s="9">
        <v>19654.0</v>
      </c>
      <c r="W37" s="9">
        <v>9881.0</v>
      </c>
      <c r="X37" s="9">
        <v>6609.0</v>
      </c>
      <c r="Y37" s="9">
        <v>6490.0</v>
      </c>
      <c r="Z37" s="9">
        <v>853.0</v>
      </c>
      <c r="AA37" s="9">
        <v>18801.0</v>
      </c>
      <c r="AB37" s="9">
        <v>364.0</v>
      </c>
      <c r="AC37" s="9">
        <v>9517.0</v>
      </c>
      <c r="AD37" s="9">
        <v>2.0</v>
      </c>
      <c r="AE37" s="9">
        <v>6607.0</v>
      </c>
    </row>
    <row r="38" ht="15.75" customHeight="1">
      <c r="A38" s="4">
        <v>25.0</v>
      </c>
      <c r="B38" s="22">
        <v>0.027918</v>
      </c>
      <c r="C38" s="4">
        <v>33.0</v>
      </c>
      <c r="D38" s="4">
        <v>21639.0</v>
      </c>
      <c r="E38" s="4">
        <v>22880.0</v>
      </c>
      <c r="F38" s="4">
        <v>19657.0</v>
      </c>
      <c r="G38" s="4">
        <v>9933.0</v>
      </c>
      <c r="H38" s="4">
        <v>6649.0</v>
      </c>
      <c r="I38" s="4">
        <v>6417.0</v>
      </c>
      <c r="J38" s="4">
        <v>800.0</v>
      </c>
      <c r="K38" s="4">
        <v>18857.0</v>
      </c>
      <c r="L38" s="4">
        <v>344.0</v>
      </c>
      <c r="M38" s="4">
        <v>9589.0</v>
      </c>
      <c r="N38" s="4">
        <v>2.0</v>
      </c>
      <c r="O38" s="4">
        <v>6647.0</v>
      </c>
      <c r="Q38" s="4">
        <v>25.0</v>
      </c>
      <c r="R38" s="22">
        <v>0.02612</v>
      </c>
      <c r="S38" s="4">
        <v>19.0</v>
      </c>
      <c r="T38" s="4">
        <v>21639.0</v>
      </c>
      <c r="U38" s="4">
        <v>22880.0</v>
      </c>
      <c r="V38" s="4">
        <v>19657.0</v>
      </c>
      <c r="W38" s="4">
        <v>9933.0</v>
      </c>
      <c r="X38" s="4">
        <v>6649.0</v>
      </c>
      <c r="Y38" s="4">
        <v>6417.0</v>
      </c>
      <c r="Z38" s="4">
        <v>800.0</v>
      </c>
      <c r="AA38" s="4">
        <v>18857.0</v>
      </c>
      <c r="AB38" s="4">
        <v>344.0</v>
      </c>
      <c r="AC38" s="4">
        <v>9589.0</v>
      </c>
      <c r="AD38" s="4">
        <v>2.0</v>
      </c>
      <c r="AE38" s="4">
        <v>6647.0</v>
      </c>
    </row>
    <row r="39" ht="15.75" customHeight="1">
      <c r="A39" s="9">
        <v>26.0</v>
      </c>
      <c r="B39" s="23">
        <v>0.028176</v>
      </c>
      <c r="C39" s="9">
        <v>34.0</v>
      </c>
      <c r="D39" s="9">
        <v>21496.0</v>
      </c>
      <c r="E39" s="9">
        <v>22747.0</v>
      </c>
      <c r="F39" s="9">
        <v>19782.0</v>
      </c>
      <c r="G39" s="9">
        <v>9845.0</v>
      </c>
      <c r="H39" s="9">
        <v>6649.0</v>
      </c>
      <c r="I39" s="9">
        <v>6513.0</v>
      </c>
      <c r="J39" s="9">
        <v>792.0</v>
      </c>
      <c r="K39" s="9">
        <v>18990.0</v>
      </c>
      <c r="L39" s="9">
        <v>349.0</v>
      </c>
      <c r="M39" s="9">
        <v>9496.0</v>
      </c>
      <c r="N39" s="9">
        <v>3.0</v>
      </c>
      <c r="O39" s="9">
        <v>6646.0</v>
      </c>
      <c r="Q39" s="9">
        <v>26.0</v>
      </c>
      <c r="R39" s="23">
        <v>0.027274</v>
      </c>
      <c r="S39" s="9">
        <v>19.0</v>
      </c>
      <c r="T39" s="9">
        <v>21496.0</v>
      </c>
      <c r="U39" s="9">
        <v>22747.0</v>
      </c>
      <c r="V39" s="9">
        <v>19782.0</v>
      </c>
      <c r="W39" s="9">
        <v>9845.0</v>
      </c>
      <c r="X39" s="9">
        <v>6649.0</v>
      </c>
      <c r="Y39" s="9">
        <v>6513.0</v>
      </c>
      <c r="Z39" s="9">
        <v>792.0</v>
      </c>
      <c r="AA39" s="9">
        <v>18990.0</v>
      </c>
      <c r="AB39" s="9">
        <v>349.0</v>
      </c>
      <c r="AC39" s="9">
        <v>9496.0</v>
      </c>
      <c r="AD39" s="9">
        <v>3.0</v>
      </c>
      <c r="AE39" s="9">
        <v>6646.0</v>
      </c>
    </row>
    <row r="40" ht="15.75" customHeight="1">
      <c r="A40" s="4">
        <v>27.0</v>
      </c>
      <c r="B40" s="22">
        <v>0.016224</v>
      </c>
      <c r="C40" s="4">
        <v>35.0</v>
      </c>
      <c r="D40" s="4">
        <v>21475.0</v>
      </c>
      <c r="E40" s="4">
        <v>22738.0</v>
      </c>
      <c r="F40" s="4">
        <v>19672.0</v>
      </c>
      <c r="G40" s="4">
        <v>10049.0</v>
      </c>
      <c r="H40" s="4">
        <v>6547.0</v>
      </c>
      <c r="I40" s="4">
        <v>6530.0</v>
      </c>
      <c r="J40" s="4">
        <v>810.0</v>
      </c>
      <c r="K40" s="4">
        <v>18862.0</v>
      </c>
      <c r="L40" s="4">
        <v>357.0</v>
      </c>
      <c r="M40" s="4">
        <v>9692.0</v>
      </c>
      <c r="N40" s="4">
        <v>3.0</v>
      </c>
      <c r="O40" s="4">
        <v>6544.0</v>
      </c>
      <c r="Q40" s="4">
        <v>27.0</v>
      </c>
      <c r="R40" s="22">
        <v>0.016896</v>
      </c>
      <c r="S40" s="4">
        <v>19.0</v>
      </c>
      <c r="T40" s="4">
        <v>21475.0</v>
      </c>
      <c r="U40" s="4">
        <v>22738.0</v>
      </c>
      <c r="V40" s="4">
        <v>19672.0</v>
      </c>
      <c r="W40" s="4">
        <v>10049.0</v>
      </c>
      <c r="X40" s="4">
        <v>6547.0</v>
      </c>
      <c r="Y40" s="4">
        <v>6530.0</v>
      </c>
      <c r="Z40" s="4">
        <v>810.0</v>
      </c>
      <c r="AA40" s="4">
        <v>18862.0</v>
      </c>
      <c r="AB40" s="4">
        <v>357.0</v>
      </c>
      <c r="AC40" s="4">
        <v>9692.0</v>
      </c>
      <c r="AD40" s="4">
        <v>3.0</v>
      </c>
      <c r="AE40" s="4">
        <v>6544.0</v>
      </c>
    </row>
    <row r="41" ht="15.75" customHeight="1">
      <c r="A41" s="9">
        <v>28.0</v>
      </c>
      <c r="B41" s="23">
        <v>0.019812</v>
      </c>
      <c r="C41" s="9">
        <v>35.0</v>
      </c>
      <c r="D41" s="9">
        <v>21653.0</v>
      </c>
      <c r="E41" s="9">
        <v>22941.0</v>
      </c>
      <c r="F41" s="9">
        <v>19460.0</v>
      </c>
      <c r="G41" s="9">
        <v>9862.0</v>
      </c>
      <c r="H41" s="9">
        <v>6703.0</v>
      </c>
      <c r="I41" s="9">
        <v>6570.0</v>
      </c>
      <c r="J41" s="9">
        <v>867.0</v>
      </c>
      <c r="K41" s="9">
        <v>18593.0</v>
      </c>
      <c r="L41" s="9">
        <v>368.0</v>
      </c>
      <c r="M41" s="9">
        <v>9494.0</v>
      </c>
      <c r="N41" s="9">
        <v>2.0</v>
      </c>
      <c r="O41" s="9">
        <v>6701.0</v>
      </c>
      <c r="Q41" s="9">
        <v>28.0</v>
      </c>
      <c r="R41" s="23">
        <v>0.016843</v>
      </c>
      <c r="S41" s="9">
        <v>19.0</v>
      </c>
      <c r="T41" s="9">
        <v>21653.0</v>
      </c>
      <c r="U41" s="9">
        <v>22941.0</v>
      </c>
      <c r="V41" s="9">
        <v>19460.0</v>
      </c>
      <c r="W41" s="9">
        <v>9862.0</v>
      </c>
      <c r="X41" s="9">
        <v>6703.0</v>
      </c>
      <c r="Y41" s="9">
        <v>6570.0</v>
      </c>
      <c r="Z41" s="9">
        <v>867.0</v>
      </c>
      <c r="AA41" s="9">
        <v>18593.0</v>
      </c>
      <c r="AB41" s="9">
        <v>368.0</v>
      </c>
      <c r="AC41" s="9">
        <v>9494.0</v>
      </c>
      <c r="AD41" s="9">
        <v>2.0</v>
      </c>
      <c r="AE41" s="9">
        <v>6701.0</v>
      </c>
    </row>
    <row r="42" ht="15.75" customHeight="1">
      <c r="A42" s="4">
        <v>29.0</v>
      </c>
      <c r="B42" s="22">
        <v>0.017698</v>
      </c>
      <c r="C42" s="4">
        <v>32.0</v>
      </c>
      <c r="D42" s="4">
        <v>21690.0</v>
      </c>
      <c r="E42" s="4">
        <v>22934.0</v>
      </c>
      <c r="F42" s="4">
        <v>19684.0</v>
      </c>
      <c r="G42" s="4">
        <v>9864.0</v>
      </c>
      <c r="H42" s="4">
        <v>6533.0</v>
      </c>
      <c r="I42" s="4">
        <v>6521.0</v>
      </c>
      <c r="J42" s="4">
        <v>835.0</v>
      </c>
      <c r="K42" s="4">
        <v>18849.0</v>
      </c>
      <c r="L42" s="4">
        <v>407.0</v>
      </c>
      <c r="M42" s="4">
        <v>9457.0</v>
      </c>
      <c r="N42" s="4">
        <v>4.0</v>
      </c>
      <c r="O42" s="4">
        <v>6529.0</v>
      </c>
      <c r="Q42" s="4">
        <v>29.0</v>
      </c>
      <c r="R42" s="22">
        <v>0.019015</v>
      </c>
      <c r="S42" s="4">
        <v>20.0</v>
      </c>
      <c r="T42" s="4">
        <v>21690.0</v>
      </c>
      <c r="U42" s="4">
        <v>22934.0</v>
      </c>
      <c r="V42" s="4">
        <v>19684.0</v>
      </c>
      <c r="W42" s="4">
        <v>9864.0</v>
      </c>
      <c r="X42" s="4">
        <v>6533.0</v>
      </c>
      <c r="Y42" s="4">
        <v>6521.0</v>
      </c>
      <c r="Z42" s="4">
        <v>835.0</v>
      </c>
      <c r="AA42" s="4">
        <v>18849.0</v>
      </c>
      <c r="AB42" s="4">
        <v>407.0</v>
      </c>
      <c r="AC42" s="4">
        <v>9457.0</v>
      </c>
      <c r="AD42" s="4">
        <v>4.0</v>
      </c>
      <c r="AE42" s="4">
        <v>6529.0</v>
      </c>
    </row>
    <row r="43" ht="15.75" customHeight="1">
      <c r="A43" s="9">
        <v>30.0</v>
      </c>
      <c r="B43" s="23">
        <v>0.015505</v>
      </c>
      <c r="C43" s="9">
        <v>35.0</v>
      </c>
      <c r="D43" s="9">
        <v>21647.0</v>
      </c>
      <c r="E43" s="9">
        <v>22913.0</v>
      </c>
      <c r="F43" s="9">
        <v>19692.0</v>
      </c>
      <c r="G43" s="9">
        <v>9829.0</v>
      </c>
      <c r="H43" s="9">
        <v>6574.0</v>
      </c>
      <c r="I43" s="9">
        <v>6528.0</v>
      </c>
      <c r="J43" s="9">
        <v>790.0</v>
      </c>
      <c r="K43" s="9">
        <v>18902.0</v>
      </c>
      <c r="L43" s="9">
        <v>371.0</v>
      </c>
      <c r="M43" s="9">
        <v>9458.0</v>
      </c>
      <c r="N43" s="9">
        <v>1.0</v>
      </c>
      <c r="O43" s="9">
        <v>6573.0</v>
      </c>
      <c r="Q43" s="9">
        <v>30.0</v>
      </c>
      <c r="R43" s="23">
        <v>0.017345</v>
      </c>
      <c r="S43" s="9">
        <v>19.0</v>
      </c>
      <c r="T43" s="9">
        <v>21647.0</v>
      </c>
      <c r="U43" s="9">
        <v>22913.0</v>
      </c>
      <c r="V43" s="9">
        <v>19692.0</v>
      </c>
      <c r="W43" s="9">
        <v>9829.0</v>
      </c>
      <c r="X43" s="9">
        <v>6574.0</v>
      </c>
      <c r="Y43" s="9">
        <v>6528.0</v>
      </c>
      <c r="Z43" s="9">
        <v>790.0</v>
      </c>
      <c r="AA43" s="9">
        <v>18902.0</v>
      </c>
      <c r="AB43" s="9">
        <v>371.0</v>
      </c>
      <c r="AC43" s="9">
        <v>9458.0</v>
      </c>
      <c r="AD43" s="9">
        <v>1.0</v>
      </c>
      <c r="AE43" s="9">
        <v>6573.0</v>
      </c>
    </row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1.71"/>
    <col customWidth="1" min="2" max="2" width="14.71"/>
    <col customWidth="1" min="3" max="15" width="11.71"/>
    <col customWidth="1" min="16" max="16" width="3.71"/>
    <col customWidth="1" min="17" max="17" width="11.71"/>
    <col customWidth="1" min="18" max="18" width="14.71"/>
    <col customWidth="1" min="19" max="31" width="11.71"/>
    <col customWidth="1" min="32" max="48" width="8.71"/>
  </cols>
  <sheetData>
    <row r="1">
      <c r="A1" s="1" t="s">
        <v>69</v>
      </c>
    </row>
    <row r="3">
      <c r="B3" s="2" t="s">
        <v>39</v>
      </c>
    </row>
    <row r="4">
      <c r="B4" s="3" t="s">
        <v>40</v>
      </c>
      <c r="C4" s="3" t="s">
        <v>6</v>
      </c>
      <c r="D4" s="3" t="s">
        <v>7</v>
      </c>
    </row>
    <row r="5">
      <c r="B5" s="18" t="s">
        <v>41</v>
      </c>
      <c r="C5" s="5">
        <f>MIN(B14:B43)</f>
        <v>0.036408</v>
      </c>
      <c r="D5" s="5">
        <f>MIN(R14:R43)</f>
        <v>0.035523</v>
      </c>
    </row>
    <row r="6">
      <c r="B6" s="18" t="s">
        <v>42</v>
      </c>
      <c r="C6" s="5">
        <f>MAX(B14:B43)</f>
        <v>0.063822</v>
      </c>
      <c r="D6" s="5">
        <f>MAX(R14:R43)</f>
        <v>0.0607</v>
      </c>
    </row>
    <row r="7">
      <c r="B7" s="18" t="s">
        <v>43</v>
      </c>
      <c r="C7" s="5">
        <f>AVERAGE(B14:B43)</f>
        <v>0.0454568</v>
      </c>
      <c r="D7" s="5">
        <f>AVERAGE(R14:R43)</f>
        <v>0.04209233333</v>
      </c>
    </row>
    <row r="8">
      <c r="B8" s="18" t="s">
        <v>44</v>
      </c>
      <c r="C8" s="5">
        <f>_xlfn.STDEV.S(B14:B43)</f>
        <v>0.007076734399</v>
      </c>
      <c r="D8" s="5">
        <f>_xlfn.STDEV.S(R14:R43)</f>
        <v>0.005868403997</v>
      </c>
    </row>
    <row r="9">
      <c r="B9" s="18" t="s">
        <v>45</v>
      </c>
      <c r="C9" s="6">
        <f t="shared" ref="C9:D9" si="1">C7/C6</f>
        <v>0.712243427</v>
      </c>
      <c r="D9" s="6">
        <f t="shared" si="1"/>
        <v>0.6934486546</v>
      </c>
    </row>
    <row r="10">
      <c r="B10" s="18" t="s">
        <v>46</v>
      </c>
      <c r="C10" s="6">
        <f>AVERAGE(C14:C43)</f>
        <v>36.23333333</v>
      </c>
      <c r="D10" s="6">
        <f>AVERAGE(S14:S43)</f>
        <v>20.53333333</v>
      </c>
    </row>
    <row r="11">
      <c r="B11" s="18" t="s">
        <v>47</v>
      </c>
      <c r="C11" s="19">
        <f>MAX(C14:C43)</f>
        <v>40</v>
      </c>
      <c r="D11" s="19">
        <f>MAX(S14:S43)</f>
        <v>21</v>
      </c>
    </row>
    <row r="12">
      <c r="A12" s="2" t="s">
        <v>48</v>
      </c>
      <c r="Q12" s="2" t="s">
        <v>49</v>
      </c>
    </row>
    <row r="13">
      <c r="A13" s="20" t="s">
        <v>50</v>
      </c>
      <c r="B13" s="20" t="s">
        <v>51</v>
      </c>
      <c r="C13" s="20" t="s">
        <v>52</v>
      </c>
      <c r="D13" s="20" t="s">
        <v>53</v>
      </c>
      <c r="E13" s="20" t="s">
        <v>54</v>
      </c>
      <c r="F13" s="20" t="s">
        <v>55</v>
      </c>
      <c r="G13" s="20" t="s">
        <v>56</v>
      </c>
      <c r="H13" s="20" t="s">
        <v>57</v>
      </c>
      <c r="I13" s="20" t="s">
        <v>58</v>
      </c>
      <c r="J13" s="20" t="s">
        <v>59</v>
      </c>
      <c r="K13" s="20" t="s">
        <v>60</v>
      </c>
      <c r="L13" s="20" t="s">
        <v>61</v>
      </c>
      <c r="M13" s="20" t="s">
        <v>62</v>
      </c>
      <c r="N13" s="20" t="s">
        <v>63</v>
      </c>
      <c r="O13" s="20" t="s">
        <v>64</v>
      </c>
      <c r="Q13" s="21" t="s">
        <v>50</v>
      </c>
      <c r="R13" s="21" t="s">
        <v>51</v>
      </c>
      <c r="S13" s="21" t="s">
        <v>52</v>
      </c>
      <c r="T13" s="21" t="s">
        <v>53</v>
      </c>
      <c r="U13" s="21" t="s">
        <v>54</v>
      </c>
      <c r="V13" s="21" t="s">
        <v>55</v>
      </c>
      <c r="W13" s="21" t="s">
        <v>56</v>
      </c>
      <c r="X13" s="21" t="s">
        <v>57</v>
      </c>
      <c r="Y13" s="21" t="s">
        <v>58</v>
      </c>
      <c r="Z13" s="21" t="s">
        <v>59</v>
      </c>
      <c r="AA13" s="21" t="s">
        <v>60</v>
      </c>
      <c r="AB13" s="21" t="s">
        <v>61</v>
      </c>
      <c r="AC13" s="21" t="s">
        <v>62</v>
      </c>
      <c r="AD13" s="21" t="s">
        <v>63</v>
      </c>
      <c r="AE13" s="21" t="s">
        <v>64</v>
      </c>
    </row>
    <row r="14">
      <c r="A14" s="4">
        <v>1.0</v>
      </c>
      <c r="B14" s="22">
        <v>0.054601</v>
      </c>
      <c r="C14" s="4">
        <v>36.0</v>
      </c>
      <c r="D14" s="4">
        <v>43224.0</v>
      </c>
      <c r="E14" s="4">
        <v>45766.0</v>
      </c>
      <c r="F14" s="4">
        <v>39294.0</v>
      </c>
      <c r="G14" s="4">
        <v>19731.0</v>
      </c>
      <c r="H14" s="4">
        <v>13170.0</v>
      </c>
      <c r="I14" s="4">
        <v>13111.0</v>
      </c>
      <c r="J14" s="4">
        <v>1619.0</v>
      </c>
      <c r="K14" s="4">
        <v>37675.0</v>
      </c>
      <c r="L14" s="4">
        <v>730.0</v>
      </c>
      <c r="M14" s="4">
        <v>19001.0</v>
      </c>
      <c r="N14" s="4">
        <v>4.0</v>
      </c>
      <c r="O14" s="4">
        <v>13166.0</v>
      </c>
      <c r="Q14" s="4">
        <v>1.0</v>
      </c>
      <c r="R14" s="22">
        <v>0.048437</v>
      </c>
      <c r="S14" s="4">
        <v>20.0</v>
      </c>
      <c r="T14" s="4">
        <v>43224.0</v>
      </c>
      <c r="U14" s="4">
        <v>45766.0</v>
      </c>
      <c r="V14" s="4">
        <v>39294.0</v>
      </c>
      <c r="W14" s="4">
        <v>19731.0</v>
      </c>
      <c r="X14" s="4">
        <v>13170.0</v>
      </c>
      <c r="Y14" s="4">
        <v>13111.0</v>
      </c>
      <c r="Z14" s="4">
        <v>1619.0</v>
      </c>
      <c r="AA14" s="4">
        <v>37675.0</v>
      </c>
      <c r="AB14" s="4">
        <v>730.0</v>
      </c>
      <c r="AC14" s="4">
        <v>19001.0</v>
      </c>
      <c r="AD14" s="4">
        <v>4.0</v>
      </c>
      <c r="AE14" s="4">
        <v>13166.0</v>
      </c>
    </row>
    <row r="15">
      <c r="A15" s="9">
        <v>2.0</v>
      </c>
      <c r="B15" s="23">
        <v>0.04903</v>
      </c>
      <c r="C15" s="9">
        <v>39.0</v>
      </c>
      <c r="D15" s="9">
        <v>43121.0</v>
      </c>
      <c r="E15" s="9">
        <v>45544.0</v>
      </c>
      <c r="F15" s="9">
        <v>39524.0</v>
      </c>
      <c r="G15" s="9">
        <v>19818.0</v>
      </c>
      <c r="H15" s="9">
        <v>13081.0</v>
      </c>
      <c r="I15" s="9">
        <v>13105.0</v>
      </c>
      <c r="J15" s="9">
        <v>1661.0</v>
      </c>
      <c r="K15" s="9">
        <v>37863.0</v>
      </c>
      <c r="L15" s="9">
        <v>769.0</v>
      </c>
      <c r="M15" s="9">
        <v>19049.0</v>
      </c>
      <c r="N15" s="9">
        <v>2.0</v>
      </c>
      <c r="O15" s="9">
        <v>13079.0</v>
      </c>
      <c r="Q15" s="9">
        <v>2.0</v>
      </c>
      <c r="R15" s="23">
        <v>0.038465</v>
      </c>
      <c r="S15" s="9">
        <v>21.0</v>
      </c>
      <c r="T15" s="9">
        <v>43121.0</v>
      </c>
      <c r="U15" s="9">
        <v>45544.0</v>
      </c>
      <c r="V15" s="9">
        <v>39524.0</v>
      </c>
      <c r="W15" s="9">
        <v>19818.0</v>
      </c>
      <c r="X15" s="9">
        <v>13081.0</v>
      </c>
      <c r="Y15" s="9">
        <v>13105.0</v>
      </c>
      <c r="Z15" s="9">
        <v>1661.0</v>
      </c>
      <c r="AA15" s="9">
        <v>37863.0</v>
      </c>
      <c r="AB15" s="9">
        <v>769.0</v>
      </c>
      <c r="AC15" s="9">
        <v>19049.0</v>
      </c>
      <c r="AD15" s="9">
        <v>2.0</v>
      </c>
      <c r="AE15" s="9">
        <v>13079.0</v>
      </c>
    </row>
    <row r="16">
      <c r="A16" s="4">
        <v>3.0</v>
      </c>
      <c r="B16" s="22">
        <v>0.045365</v>
      </c>
      <c r="C16" s="4">
        <v>32.0</v>
      </c>
      <c r="D16" s="4">
        <v>43299.0</v>
      </c>
      <c r="E16" s="4">
        <v>45801.0</v>
      </c>
      <c r="F16" s="4">
        <v>39342.0</v>
      </c>
      <c r="G16" s="4">
        <v>19569.0</v>
      </c>
      <c r="H16" s="4">
        <v>13063.0</v>
      </c>
      <c r="I16" s="4">
        <v>13297.0</v>
      </c>
      <c r="J16" s="4">
        <v>1677.0</v>
      </c>
      <c r="K16" s="4">
        <v>37665.0</v>
      </c>
      <c r="L16" s="4">
        <v>735.0</v>
      </c>
      <c r="M16" s="4">
        <v>18834.0</v>
      </c>
      <c r="N16" s="4">
        <v>2.0</v>
      </c>
      <c r="O16" s="4">
        <v>13061.0</v>
      </c>
      <c r="Q16" s="4">
        <v>3.0</v>
      </c>
      <c r="R16" s="22">
        <v>0.040405</v>
      </c>
      <c r="S16" s="4">
        <v>20.0</v>
      </c>
      <c r="T16" s="4">
        <v>43299.0</v>
      </c>
      <c r="U16" s="4">
        <v>45801.0</v>
      </c>
      <c r="V16" s="4">
        <v>39342.0</v>
      </c>
      <c r="W16" s="4">
        <v>19569.0</v>
      </c>
      <c r="X16" s="4">
        <v>13063.0</v>
      </c>
      <c r="Y16" s="4">
        <v>13297.0</v>
      </c>
      <c r="Z16" s="4">
        <v>1677.0</v>
      </c>
      <c r="AA16" s="4">
        <v>37665.0</v>
      </c>
      <c r="AB16" s="4">
        <v>735.0</v>
      </c>
      <c r="AC16" s="4">
        <v>18834.0</v>
      </c>
      <c r="AD16" s="4">
        <v>2.0</v>
      </c>
      <c r="AE16" s="4">
        <v>13061.0</v>
      </c>
    </row>
    <row r="17">
      <c r="A17" s="9">
        <v>4.0</v>
      </c>
      <c r="B17" s="23">
        <v>0.039429</v>
      </c>
      <c r="C17" s="9">
        <v>34.0</v>
      </c>
      <c r="D17" s="9">
        <v>43342.0</v>
      </c>
      <c r="E17" s="9">
        <v>45798.0</v>
      </c>
      <c r="F17" s="9">
        <v>39414.0</v>
      </c>
      <c r="G17" s="9">
        <v>19601.0</v>
      </c>
      <c r="H17" s="9">
        <v>13195.0</v>
      </c>
      <c r="I17" s="9">
        <v>13064.0</v>
      </c>
      <c r="J17" s="9">
        <v>1659.0</v>
      </c>
      <c r="K17" s="9">
        <v>37755.0</v>
      </c>
      <c r="L17" s="9">
        <v>727.0</v>
      </c>
      <c r="M17" s="9">
        <v>18874.0</v>
      </c>
      <c r="N17" s="9">
        <v>4.0</v>
      </c>
      <c r="O17" s="9">
        <v>13191.0</v>
      </c>
      <c r="Q17" s="9">
        <v>4.0</v>
      </c>
      <c r="R17" s="23">
        <v>0.03656</v>
      </c>
      <c r="S17" s="9">
        <v>21.0</v>
      </c>
      <c r="T17" s="9">
        <v>43342.0</v>
      </c>
      <c r="U17" s="9">
        <v>45798.0</v>
      </c>
      <c r="V17" s="9">
        <v>39414.0</v>
      </c>
      <c r="W17" s="9">
        <v>19601.0</v>
      </c>
      <c r="X17" s="9">
        <v>13195.0</v>
      </c>
      <c r="Y17" s="9">
        <v>13064.0</v>
      </c>
      <c r="Z17" s="9">
        <v>1659.0</v>
      </c>
      <c r="AA17" s="9">
        <v>37755.0</v>
      </c>
      <c r="AB17" s="9">
        <v>727.0</v>
      </c>
      <c r="AC17" s="9">
        <v>18874.0</v>
      </c>
      <c r="AD17" s="9">
        <v>4.0</v>
      </c>
      <c r="AE17" s="9">
        <v>13191.0</v>
      </c>
    </row>
    <row r="18">
      <c r="A18" s="4">
        <v>5.0</v>
      </c>
      <c r="B18" s="22">
        <v>0.037479</v>
      </c>
      <c r="C18" s="4">
        <v>36.0</v>
      </c>
      <c r="D18" s="4">
        <v>43236.0</v>
      </c>
      <c r="E18" s="4">
        <v>45728.0</v>
      </c>
      <c r="F18" s="4">
        <v>39490.0</v>
      </c>
      <c r="G18" s="4">
        <v>19631.0</v>
      </c>
      <c r="H18" s="4">
        <v>12975.0</v>
      </c>
      <c r="I18" s="4">
        <v>13248.0</v>
      </c>
      <c r="J18" s="4">
        <v>1623.0</v>
      </c>
      <c r="K18" s="4">
        <v>37867.0</v>
      </c>
      <c r="L18" s="4">
        <v>745.0</v>
      </c>
      <c r="M18" s="4">
        <v>18886.0</v>
      </c>
      <c r="N18" s="4">
        <v>4.0</v>
      </c>
      <c r="O18" s="4">
        <v>12971.0</v>
      </c>
      <c r="Q18" s="4">
        <v>5.0</v>
      </c>
      <c r="R18" s="22">
        <v>0.036462</v>
      </c>
      <c r="S18" s="4">
        <v>21.0</v>
      </c>
      <c r="T18" s="4">
        <v>43236.0</v>
      </c>
      <c r="U18" s="4">
        <v>45728.0</v>
      </c>
      <c r="V18" s="4">
        <v>39490.0</v>
      </c>
      <c r="W18" s="4">
        <v>19631.0</v>
      </c>
      <c r="X18" s="4">
        <v>12975.0</v>
      </c>
      <c r="Y18" s="4">
        <v>13248.0</v>
      </c>
      <c r="Z18" s="4">
        <v>1623.0</v>
      </c>
      <c r="AA18" s="4">
        <v>37867.0</v>
      </c>
      <c r="AB18" s="4">
        <v>745.0</v>
      </c>
      <c r="AC18" s="4">
        <v>18886.0</v>
      </c>
      <c r="AD18" s="4">
        <v>4.0</v>
      </c>
      <c r="AE18" s="4">
        <v>12971.0</v>
      </c>
    </row>
    <row r="19">
      <c r="A19" s="9">
        <v>6.0</v>
      </c>
      <c r="B19" s="23">
        <v>0.039254</v>
      </c>
      <c r="C19" s="9">
        <v>36.0</v>
      </c>
      <c r="D19" s="9">
        <v>43503.0</v>
      </c>
      <c r="E19" s="9">
        <v>45919.0</v>
      </c>
      <c r="F19" s="9">
        <v>39443.0</v>
      </c>
      <c r="G19" s="9">
        <v>19500.0</v>
      </c>
      <c r="H19" s="9">
        <v>13034.0</v>
      </c>
      <c r="I19" s="9">
        <v>13176.0</v>
      </c>
      <c r="J19" s="9">
        <v>1606.0</v>
      </c>
      <c r="K19" s="9">
        <v>37837.0</v>
      </c>
      <c r="L19" s="9">
        <v>823.0</v>
      </c>
      <c r="M19" s="9">
        <v>18677.0</v>
      </c>
      <c r="N19" s="9">
        <v>1.0</v>
      </c>
      <c r="O19" s="9">
        <v>13033.0</v>
      </c>
      <c r="Q19" s="9">
        <v>6.0</v>
      </c>
      <c r="R19" s="23">
        <v>0.038638</v>
      </c>
      <c r="S19" s="9">
        <v>21.0</v>
      </c>
      <c r="T19" s="9">
        <v>43503.0</v>
      </c>
      <c r="U19" s="9">
        <v>45919.0</v>
      </c>
      <c r="V19" s="9">
        <v>39443.0</v>
      </c>
      <c r="W19" s="9">
        <v>19500.0</v>
      </c>
      <c r="X19" s="9">
        <v>13034.0</v>
      </c>
      <c r="Y19" s="9">
        <v>13176.0</v>
      </c>
      <c r="Z19" s="9">
        <v>1606.0</v>
      </c>
      <c r="AA19" s="9">
        <v>37837.0</v>
      </c>
      <c r="AB19" s="9">
        <v>823.0</v>
      </c>
      <c r="AC19" s="9">
        <v>18677.0</v>
      </c>
      <c r="AD19" s="9">
        <v>1.0</v>
      </c>
      <c r="AE19" s="9">
        <v>13033.0</v>
      </c>
    </row>
    <row r="20">
      <c r="A20" s="4">
        <v>7.0</v>
      </c>
      <c r="B20" s="22">
        <v>0.038011</v>
      </c>
      <c r="C20" s="4">
        <v>40.0</v>
      </c>
      <c r="D20" s="4">
        <v>43284.0</v>
      </c>
      <c r="E20" s="4">
        <v>45721.0</v>
      </c>
      <c r="F20" s="4">
        <v>39467.0</v>
      </c>
      <c r="G20" s="4">
        <v>19608.0</v>
      </c>
      <c r="H20" s="4">
        <v>13021.0</v>
      </c>
      <c r="I20" s="4">
        <v>13255.0</v>
      </c>
      <c r="J20" s="4">
        <v>1628.0</v>
      </c>
      <c r="K20" s="4">
        <v>37839.0</v>
      </c>
      <c r="L20" s="4">
        <v>757.0</v>
      </c>
      <c r="M20" s="4">
        <v>18851.0</v>
      </c>
      <c r="N20" s="4">
        <v>5.0</v>
      </c>
      <c r="O20" s="4">
        <v>13016.0</v>
      </c>
      <c r="Q20" s="4">
        <v>7.0</v>
      </c>
      <c r="R20" s="22">
        <v>0.040572</v>
      </c>
      <c r="S20" s="4">
        <v>21.0</v>
      </c>
      <c r="T20" s="4">
        <v>43284.0</v>
      </c>
      <c r="U20" s="4">
        <v>45721.0</v>
      </c>
      <c r="V20" s="4">
        <v>39467.0</v>
      </c>
      <c r="W20" s="4">
        <v>19608.0</v>
      </c>
      <c r="X20" s="4">
        <v>13021.0</v>
      </c>
      <c r="Y20" s="4">
        <v>13255.0</v>
      </c>
      <c r="Z20" s="4">
        <v>1628.0</v>
      </c>
      <c r="AA20" s="4">
        <v>37839.0</v>
      </c>
      <c r="AB20" s="4">
        <v>757.0</v>
      </c>
      <c r="AC20" s="4">
        <v>18851.0</v>
      </c>
      <c r="AD20" s="4">
        <v>5.0</v>
      </c>
      <c r="AE20" s="4">
        <v>13016.0</v>
      </c>
    </row>
    <row r="21" ht="15.75" customHeight="1">
      <c r="A21" s="9">
        <v>8.0</v>
      </c>
      <c r="B21" s="23">
        <v>0.063822</v>
      </c>
      <c r="C21" s="9">
        <v>36.0</v>
      </c>
      <c r="D21" s="9">
        <v>43354.0</v>
      </c>
      <c r="E21" s="9">
        <v>45817.0</v>
      </c>
      <c r="F21" s="9">
        <v>38953.0</v>
      </c>
      <c r="G21" s="9">
        <v>19733.0</v>
      </c>
      <c r="H21" s="9">
        <v>13284.0</v>
      </c>
      <c r="I21" s="9">
        <v>13285.0</v>
      </c>
      <c r="J21" s="9">
        <v>1706.0</v>
      </c>
      <c r="K21" s="9">
        <v>37247.0</v>
      </c>
      <c r="L21" s="9">
        <v>773.0</v>
      </c>
      <c r="M21" s="9">
        <v>18960.0</v>
      </c>
      <c r="N21" s="9">
        <v>5.0</v>
      </c>
      <c r="O21" s="9">
        <v>13279.0</v>
      </c>
      <c r="Q21" s="9">
        <v>8.0</v>
      </c>
      <c r="R21" s="23">
        <v>0.0607</v>
      </c>
      <c r="S21" s="9">
        <v>20.0</v>
      </c>
      <c r="T21" s="9">
        <v>43354.0</v>
      </c>
      <c r="U21" s="9">
        <v>45817.0</v>
      </c>
      <c r="V21" s="9">
        <v>38953.0</v>
      </c>
      <c r="W21" s="9">
        <v>19733.0</v>
      </c>
      <c r="X21" s="9">
        <v>13284.0</v>
      </c>
      <c r="Y21" s="9">
        <v>13285.0</v>
      </c>
      <c r="Z21" s="9">
        <v>1706.0</v>
      </c>
      <c r="AA21" s="9">
        <v>37247.0</v>
      </c>
      <c r="AB21" s="9">
        <v>773.0</v>
      </c>
      <c r="AC21" s="9">
        <v>18960.0</v>
      </c>
      <c r="AD21" s="9">
        <v>5.0</v>
      </c>
      <c r="AE21" s="9">
        <v>13279.0</v>
      </c>
    </row>
    <row r="22" ht="15.75" customHeight="1">
      <c r="A22" s="4">
        <v>9.0</v>
      </c>
      <c r="B22" s="22">
        <v>0.050112</v>
      </c>
      <c r="C22" s="4">
        <v>36.0</v>
      </c>
      <c r="D22" s="4">
        <v>43387.0</v>
      </c>
      <c r="E22" s="4">
        <v>45835.0</v>
      </c>
      <c r="F22" s="4">
        <v>39392.0</v>
      </c>
      <c r="G22" s="4">
        <v>19685.0</v>
      </c>
      <c r="H22" s="4">
        <v>13118.0</v>
      </c>
      <c r="I22" s="4">
        <v>13042.0</v>
      </c>
      <c r="J22" s="4">
        <v>1700.0</v>
      </c>
      <c r="K22" s="4">
        <v>37692.0</v>
      </c>
      <c r="L22" s="4">
        <v>812.0</v>
      </c>
      <c r="M22" s="4">
        <v>18873.0</v>
      </c>
      <c r="N22" s="4">
        <v>3.0</v>
      </c>
      <c r="O22" s="4">
        <v>13115.0</v>
      </c>
      <c r="Q22" s="4">
        <v>9.0</v>
      </c>
      <c r="R22" s="22">
        <v>0.046123</v>
      </c>
      <c r="S22" s="4">
        <v>20.0</v>
      </c>
      <c r="T22" s="4">
        <v>43387.0</v>
      </c>
      <c r="U22" s="4">
        <v>45835.0</v>
      </c>
      <c r="V22" s="4">
        <v>39392.0</v>
      </c>
      <c r="W22" s="4">
        <v>19685.0</v>
      </c>
      <c r="X22" s="4">
        <v>13118.0</v>
      </c>
      <c r="Y22" s="4">
        <v>13042.0</v>
      </c>
      <c r="Z22" s="4">
        <v>1700.0</v>
      </c>
      <c r="AA22" s="4">
        <v>37692.0</v>
      </c>
      <c r="AB22" s="4">
        <v>812.0</v>
      </c>
      <c r="AC22" s="4">
        <v>18873.0</v>
      </c>
      <c r="AD22" s="4">
        <v>3.0</v>
      </c>
      <c r="AE22" s="4">
        <v>13115.0</v>
      </c>
    </row>
    <row r="23" ht="15.75" customHeight="1">
      <c r="A23" s="9">
        <v>10.0</v>
      </c>
      <c r="B23" s="23">
        <v>0.051204</v>
      </c>
      <c r="C23" s="9">
        <v>36.0</v>
      </c>
      <c r="D23" s="9">
        <v>43510.0</v>
      </c>
      <c r="E23" s="9">
        <v>46022.0</v>
      </c>
      <c r="F23" s="9">
        <v>39114.0</v>
      </c>
      <c r="G23" s="9">
        <v>19478.0</v>
      </c>
      <c r="H23" s="9">
        <v>13206.0</v>
      </c>
      <c r="I23" s="9">
        <v>13252.0</v>
      </c>
      <c r="J23" s="9">
        <v>1579.0</v>
      </c>
      <c r="K23" s="9">
        <v>37535.0</v>
      </c>
      <c r="L23" s="9">
        <v>708.0</v>
      </c>
      <c r="M23" s="9">
        <v>18770.0</v>
      </c>
      <c r="N23" s="9">
        <v>4.0</v>
      </c>
      <c r="O23" s="9">
        <v>13202.0</v>
      </c>
      <c r="Q23" s="9">
        <v>10.0</v>
      </c>
      <c r="R23" s="23">
        <v>0.043915</v>
      </c>
      <c r="S23" s="9">
        <v>20.0</v>
      </c>
      <c r="T23" s="9">
        <v>43510.0</v>
      </c>
      <c r="U23" s="9">
        <v>46022.0</v>
      </c>
      <c r="V23" s="9">
        <v>39114.0</v>
      </c>
      <c r="W23" s="9">
        <v>19478.0</v>
      </c>
      <c r="X23" s="9">
        <v>13206.0</v>
      </c>
      <c r="Y23" s="9">
        <v>13252.0</v>
      </c>
      <c r="Z23" s="9">
        <v>1579.0</v>
      </c>
      <c r="AA23" s="9">
        <v>37535.0</v>
      </c>
      <c r="AB23" s="9">
        <v>708.0</v>
      </c>
      <c r="AC23" s="9">
        <v>18770.0</v>
      </c>
      <c r="AD23" s="9">
        <v>4.0</v>
      </c>
      <c r="AE23" s="9">
        <v>13202.0</v>
      </c>
    </row>
    <row r="24" ht="15.75" customHeight="1">
      <c r="A24" s="4">
        <v>11.0</v>
      </c>
      <c r="B24" s="22">
        <v>0.043538</v>
      </c>
      <c r="C24" s="4">
        <v>37.0</v>
      </c>
      <c r="D24" s="4">
        <v>43339.0</v>
      </c>
      <c r="E24" s="4">
        <v>45834.0</v>
      </c>
      <c r="F24" s="4">
        <v>39215.0</v>
      </c>
      <c r="G24" s="4">
        <v>19861.0</v>
      </c>
      <c r="H24" s="4">
        <v>13216.0</v>
      </c>
      <c r="I24" s="4">
        <v>12946.0</v>
      </c>
      <c r="J24" s="4">
        <v>1563.0</v>
      </c>
      <c r="K24" s="4">
        <v>37652.0</v>
      </c>
      <c r="L24" s="4">
        <v>728.0</v>
      </c>
      <c r="M24" s="4">
        <v>19133.0</v>
      </c>
      <c r="N24" s="4">
        <v>2.0</v>
      </c>
      <c r="O24" s="4">
        <v>13214.0</v>
      </c>
      <c r="Q24" s="4">
        <v>11.0</v>
      </c>
      <c r="R24" s="22">
        <v>0.043392</v>
      </c>
      <c r="S24" s="4">
        <v>20.0</v>
      </c>
      <c r="T24" s="4">
        <v>43339.0</v>
      </c>
      <c r="U24" s="4">
        <v>45834.0</v>
      </c>
      <c r="V24" s="4">
        <v>39215.0</v>
      </c>
      <c r="W24" s="4">
        <v>19861.0</v>
      </c>
      <c r="X24" s="4">
        <v>13216.0</v>
      </c>
      <c r="Y24" s="4">
        <v>12946.0</v>
      </c>
      <c r="Z24" s="4">
        <v>1563.0</v>
      </c>
      <c r="AA24" s="4">
        <v>37652.0</v>
      </c>
      <c r="AB24" s="4">
        <v>728.0</v>
      </c>
      <c r="AC24" s="4">
        <v>19133.0</v>
      </c>
      <c r="AD24" s="4">
        <v>2.0</v>
      </c>
      <c r="AE24" s="4">
        <v>13214.0</v>
      </c>
    </row>
    <row r="25" ht="15.75" customHeight="1">
      <c r="A25" s="9">
        <v>12.0</v>
      </c>
      <c r="B25" s="23">
        <v>0.043484</v>
      </c>
      <c r="C25" s="9">
        <v>33.0</v>
      </c>
      <c r="D25" s="9">
        <v>43670.0</v>
      </c>
      <c r="E25" s="9">
        <v>46132.0</v>
      </c>
      <c r="F25" s="9">
        <v>38975.0</v>
      </c>
      <c r="G25" s="9">
        <v>19834.0</v>
      </c>
      <c r="H25" s="9">
        <v>13134.0</v>
      </c>
      <c r="I25" s="9">
        <v>12997.0</v>
      </c>
      <c r="J25" s="9">
        <v>1676.0</v>
      </c>
      <c r="K25" s="9">
        <v>37299.0</v>
      </c>
      <c r="L25" s="9">
        <v>801.0</v>
      </c>
      <c r="M25" s="9">
        <v>19033.0</v>
      </c>
      <c r="N25" s="9">
        <v>7.0</v>
      </c>
      <c r="O25" s="9">
        <v>13127.0</v>
      </c>
      <c r="Q25" s="9">
        <v>12.0</v>
      </c>
      <c r="R25" s="23">
        <v>0.043431</v>
      </c>
      <c r="S25" s="9">
        <v>20.0</v>
      </c>
      <c r="T25" s="9">
        <v>43670.0</v>
      </c>
      <c r="U25" s="9">
        <v>46132.0</v>
      </c>
      <c r="V25" s="9">
        <v>38975.0</v>
      </c>
      <c r="W25" s="9">
        <v>19834.0</v>
      </c>
      <c r="X25" s="9">
        <v>13134.0</v>
      </c>
      <c r="Y25" s="9">
        <v>12997.0</v>
      </c>
      <c r="Z25" s="9">
        <v>1676.0</v>
      </c>
      <c r="AA25" s="9">
        <v>37299.0</v>
      </c>
      <c r="AB25" s="9">
        <v>801.0</v>
      </c>
      <c r="AC25" s="9">
        <v>19033.0</v>
      </c>
      <c r="AD25" s="9">
        <v>7.0</v>
      </c>
      <c r="AE25" s="9">
        <v>13127.0</v>
      </c>
    </row>
    <row r="26" ht="15.75" customHeight="1">
      <c r="A26" s="4">
        <v>13.0</v>
      </c>
      <c r="B26" s="22">
        <v>0.040409</v>
      </c>
      <c r="C26" s="4">
        <v>39.0</v>
      </c>
      <c r="D26" s="4">
        <v>43348.0</v>
      </c>
      <c r="E26" s="4">
        <v>45863.0</v>
      </c>
      <c r="F26" s="4">
        <v>39493.0</v>
      </c>
      <c r="G26" s="4">
        <v>19573.0</v>
      </c>
      <c r="H26" s="4">
        <v>13081.0</v>
      </c>
      <c r="I26" s="4">
        <v>13062.0</v>
      </c>
      <c r="J26" s="4">
        <v>1694.0</v>
      </c>
      <c r="K26" s="4">
        <v>37799.0</v>
      </c>
      <c r="L26" s="4">
        <v>720.0</v>
      </c>
      <c r="M26" s="4">
        <v>18853.0</v>
      </c>
      <c r="N26" s="4">
        <v>3.0</v>
      </c>
      <c r="O26" s="4">
        <v>13078.0</v>
      </c>
      <c r="Q26" s="4">
        <v>13.0</v>
      </c>
      <c r="R26" s="22">
        <v>0.045794</v>
      </c>
      <c r="S26" s="4">
        <v>21.0</v>
      </c>
      <c r="T26" s="4">
        <v>43348.0</v>
      </c>
      <c r="U26" s="4">
        <v>45863.0</v>
      </c>
      <c r="V26" s="4">
        <v>39493.0</v>
      </c>
      <c r="W26" s="4">
        <v>19573.0</v>
      </c>
      <c r="X26" s="4">
        <v>13081.0</v>
      </c>
      <c r="Y26" s="4">
        <v>13062.0</v>
      </c>
      <c r="Z26" s="4">
        <v>1694.0</v>
      </c>
      <c r="AA26" s="4">
        <v>37799.0</v>
      </c>
      <c r="AB26" s="4">
        <v>720.0</v>
      </c>
      <c r="AC26" s="4">
        <v>18853.0</v>
      </c>
      <c r="AD26" s="4">
        <v>3.0</v>
      </c>
      <c r="AE26" s="4">
        <v>13078.0</v>
      </c>
    </row>
    <row r="27" ht="15.75" customHeight="1">
      <c r="A27" s="9">
        <v>14.0</v>
      </c>
      <c r="B27" s="23">
        <v>0.045407</v>
      </c>
      <c r="C27" s="9">
        <v>35.0</v>
      </c>
      <c r="D27" s="9">
        <v>43287.0</v>
      </c>
      <c r="E27" s="9">
        <v>45707.0</v>
      </c>
      <c r="F27" s="9">
        <v>39275.0</v>
      </c>
      <c r="G27" s="9">
        <v>19521.0</v>
      </c>
      <c r="H27" s="9">
        <v>13421.0</v>
      </c>
      <c r="I27" s="9">
        <v>13148.0</v>
      </c>
      <c r="J27" s="9">
        <v>1644.0</v>
      </c>
      <c r="K27" s="9">
        <v>37631.0</v>
      </c>
      <c r="L27" s="9">
        <v>777.0</v>
      </c>
      <c r="M27" s="9">
        <v>18744.0</v>
      </c>
      <c r="N27" s="9">
        <v>5.0</v>
      </c>
      <c r="O27" s="9">
        <v>13416.0</v>
      </c>
      <c r="Q27" s="9">
        <v>14.0</v>
      </c>
      <c r="R27" s="23">
        <v>0.037983</v>
      </c>
      <c r="S27" s="9">
        <v>21.0</v>
      </c>
      <c r="T27" s="9">
        <v>43287.0</v>
      </c>
      <c r="U27" s="9">
        <v>45707.0</v>
      </c>
      <c r="V27" s="9">
        <v>39275.0</v>
      </c>
      <c r="W27" s="9">
        <v>19521.0</v>
      </c>
      <c r="X27" s="9">
        <v>13421.0</v>
      </c>
      <c r="Y27" s="9">
        <v>13148.0</v>
      </c>
      <c r="Z27" s="9">
        <v>1644.0</v>
      </c>
      <c r="AA27" s="9">
        <v>37631.0</v>
      </c>
      <c r="AB27" s="9">
        <v>777.0</v>
      </c>
      <c r="AC27" s="9">
        <v>18744.0</v>
      </c>
      <c r="AD27" s="9">
        <v>5.0</v>
      </c>
      <c r="AE27" s="9">
        <v>13416.0</v>
      </c>
    </row>
    <row r="28" ht="15.75" customHeight="1">
      <c r="A28" s="4">
        <v>15.0</v>
      </c>
      <c r="B28" s="22">
        <v>0.049878</v>
      </c>
      <c r="C28" s="4">
        <v>35.0</v>
      </c>
      <c r="D28" s="4">
        <v>43562.0</v>
      </c>
      <c r="E28" s="4">
        <v>46139.0</v>
      </c>
      <c r="F28" s="4">
        <v>39263.0</v>
      </c>
      <c r="G28" s="4">
        <v>19654.0</v>
      </c>
      <c r="H28" s="4">
        <v>12915.0</v>
      </c>
      <c r="I28" s="4">
        <v>13101.0</v>
      </c>
      <c r="J28" s="4">
        <v>1612.0</v>
      </c>
      <c r="K28" s="4">
        <v>37651.0</v>
      </c>
      <c r="L28" s="4">
        <v>775.0</v>
      </c>
      <c r="M28" s="4">
        <v>18879.0</v>
      </c>
      <c r="N28" s="4">
        <v>3.0</v>
      </c>
      <c r="O28" s="4">
        <v>12912.0</v>
      </c>
      <c r="Q28" s="4">
        <v>15.0</v>
      </c>
      <c r="R28" s="22">
        <v>0.038418</v>
      </c>
      <c r="S28" s="4">
        <v>20.0</v>
      </c>
      <c r="T28" s="4">
        <v>43562.0</v>
      </c>
      <c r="U28" s="4">
        <v>46139.0</v>
      </c>
      <c r="V28" s="4">
        <v>39263.0</v>
      </c>
      <c r="W28" s="4">
        <v>19654.0</v>
      </c>
      <c r="X28" s="4">
        <v>12915.0</v>
      </c>
      <c r="Y28" s="4">
        <v>13101.0</v>
      </c>
      <c r="Z28" s="4">
        <v>1612.0</v>
      </c>
      <c r="AA28" s="4">
        <v>37651.0</v>
      </c>
      <c r="AB28" s="4">
        <v>775.0</v>
      </c>
      <c r="AC28" s="4">
        <v>18879.0</v>
      </c>
      <c r="AD28" s="4">
        <v>3.0</v>
      </c>
      <c r="AE28" s="4">
        <v>12912.0</v>
      </c>
    </row>
    <row r="29" ht="15.75" customHeight="1">
      <c r="A29" s="9">
        <v>16.0</v>
      </c>
      <c r="B29" s="23">
        <v>0.053405</v>
      </c>
      <c r="C29" s="9">
        <v>37.0</v>
      </c>
      <c r="D29" s="9">
        <v>43374.0</v>
      </c>
      <c r="E29" s="9">
        <v>45901.0</v>
      </c>
      <c r="F29" s="9">
        <v>39445.0</v>
      </c>
      <c r="G29" s="9">
        <v>19536.0</v>
      </c>
      <c r="H29" s="9">
        <v>13103.0</v>
      </c>
      <c r="I29" s="9">
        <v>13087.0</v>
      </c>
      <c r="J29" s="9">
        <v>1577.0</v>
      </c>
      <c r="K29" s="9">
        <v>37868.0</v>
      </c>
      <c r="L29" s="9">
        <v>780.0</v>
      </c>
      <c r="M29" s="9">
        <v>18756.0</v>
      </c>
      <c r="N29" s="9">
        <v>2.0</v>
      </c>
      <c r="O29" s="9">
        <v>13101.0</v>
      </c>
      <c r="Q29" s="9">
        <v>16.0</v>
      </c>
      <c r="R29" s="23">
        <v>0.039538</v>
      </c>
      <c r="S29" s="9">
        <v>20.0</v>
      </c>
      <c r="T29" s="9">
        <v>43374.0</v>
      </c>
      <c r="U29" s="9">
        <v>45901.0</v>
      </c>
      <c r="V29" s="9">
        <v>39445.0</v>
      </c>
      <c r="W29" s="9">
        <v>19536.0</v>
      </c>
      <c r="X29" s="9">
        <v>13103.0</v>
      </c>
      <c r="Y29" s="9">
        <v>13087.0</v>
      </c>
      <c r="Z29" s="9">
        <v>1577.0</v>
      </c>
      <c r="AA29" s="9">
        <v>37868.0</v>
      </c>
      <c r="AB29" s="9">
        <v>780.0</v>
      </c>
      <c r="AC29" s="9">
        <v>18756.0</v>
      </c>
      <c r="AD29" s="9">
        <v>2.0</v>
      </c>
      <c r="AE29" s="9">
        <v>13101.0</v>
      </c>
    </row>
    <row r="30" ht="15.75" customHeight="1">
      <c r="A30" s="4">
        <v>17.0</v>
      </c>
      <c r="B30" s="22">
        <v>0.039713</v>
      </c>
      <c r="C30" s="4">
        <v>38.0</v>
      </c>
      <c r="D30" s="4">
        <v>43573.0</v>
      </c>
      <c r="E30" s="4">
        <v>46103.0</v>
      </c>
      <c r="F30" s="4">
        <v>39309.0</v>
      </c>
      <c r="G30" s="4">
        <v>19802.0</v>
      </c>
      <c r="H30" s="4">
        <v>12947.0</v>
      </c>
      <c r="I30" s="4">
        <v>12911.0</v>
      </c>
      <c r="J30" s="4">
        <v>1629.0</v>
      </c>
      <c r="K30" s="4">
        <v>37680.0</v>
      </c>
      <c r="L30" s="4">
        <v>787.0</v>
      </c>
      <c r="M30" s="4">
        <v>19015.0</v>
      </c>
      <c r="N30" s="4">
        <v>6.0</v>
      </c>
      <c r="O30" s="4">
        <v>12941.0</v>
      </c>
      <c r="Q30" s="4">
        <v>17.0</v>
      </c>
      <c r="R30" s="22">
        <v>0.037144</v>
      </c>
      <c r="S30" s="4">
        <v>20.0</v>
      </c>
      <c r="T30" s="4">
        <v>43573.0</v>
      </c>
      <c r="U30" s="4">
        <v>46103.0</v>
      </c>
      <c r="V30" s="4">
        <v>39309.0</v>
      </c>
      <c r="W30" s="4">
        <v>19802.0</v>
      </c>
      <c r="X30" s="4">
        <v>12947.0</v>
      </c>
      <c r="Y30" s="4">
        <v>12911.0</v>
      </c>
      <c r="Z30" s="4">
        <v>1629.0</v>
      </c>
      <c r="AA30" s="4">
        <v>37680.0</v>
      </c>
      <c r="AB30" s="4">
        <v>787.0</v>
      </c>
      <c r="AC30" s="4">
        <v>19015.0</v>
      </c>
      <c r="AD30" s="4">
        <v>6.0</v>
      </c>
      <c r="AE30" s="4">
        <v>12941.0</v>
      </c>
    </row>
    <row r="31" ht="15.75" customHeight="1">
      <c r="A31" s="9">
        <v>18.0</v>
      </c>
      <c r="B31" s="23">
        <v>0.042319</v>
      </c>
      <c r="C31" s="9">
        <v>35.0</v>
      </c>
      <c r="D31" s="9">
        <v>43450.0</v>
      </c>
      <c r="E31" s="9">
        <v>45945.0</v>
      </c>
      <c r="F31" s="9">
        <v>39551.0</v>
      </c>
      <c r="G31" s="9">
        <v>19460.0</v>
      </c>
      <c r="H31" s="9">
        <v>13086.0</v>
      </c>
      <c r="I31" s="9">
        <v>13030.0</v>
      </c>
      <c r="J31" s="9">
        <v>1742.0</v>
      </c>
      <c r="K31" s="9">
        <v>37809.0</v>
      </c>
      <c r="L31" s="9">
        <v>718.0</v>
      </c>
      <c r="M31" s="9">
        <v>18742.0</v>
      </c>
      <c r="N31" s="9">
        <v>2.0</v>
      </c>
      <c r="O31" s="9">
        <v>13084.0</v>
      </c>
      <c r="Q31" s="9">
        <v>18.0</v>
      </c>
      <c r="R31" s="23">
        <v>0.039478</v>
      </c>
      <c r="S31" s="9">
        <v>21.0</v>
      </c>
      <c r="T31" s="9">
        <v>43450.0</v>
      </c>
      <c r="U31" s="9">
        <v>45945.0</v>
      </c>
      <c r="V31" s="9">
        <v>39551.0</v>
      </c>
      <c r="W31" s="9">
        <v>19460.0</v>
      </c>
      <c r="X31" s="9">
        <v>13086.0</v>
      </c>
      <c r="Y31" s="9">
        <v>13030.0</v>
      </c>
      <c r="Z31" s="9">
        <v>1742.0</v>
      </c>
      <c r="AA31" s="9">
        <v>37809.0</v>
      </c>
      <c r="AB31" s="9">
        <v>718.0</v>
      </c>
      <c r="AC31" s="9">
        <v>18742.0</v>
      </c>
      <c r="AD31" s="9">
        <v>2.0</v>
      </c>
      <c r="AE31" s="9">
        <v>13084.0</v>
      </c>
    </row>
    <row r="32" ht="15.75" customHeight="1">
      <c r="A32" s="4">
        <v>19.0</v>
      </c>
      <c r="B32" s="22">
        <v>0.039638</v>
      </c>
      <c r="C32" s="4">
        <v>34.0</v>
      </c>
      <c r="D32" s="4">
        <v>43366.0</v>
      </c>
      <c r="E32" s="4">
        <v>45920.0</v>
      </c>
      <c r="F32" s="4">
        <v>39508.0</v>
      </c>
      <c r="G32" s="4">
        <v>19667.0</v>
      </c>
      <c r="H32" s="4">
        <v>13057.0</v>
      </c>
      <c r="I32" s="4">
        <v>12920.0</v>
      </c>
      <c r="J32" s="4">
        <v>1668.0</v>
      </c>
      <c r="K32" s="4">
        <v>37840.0</v>
      </c>
      <c r="L32" s="4">
        <v>758.0</v>
      </c>
      <c r="M32" s="4">
        <v>18909.0</v>
      </c>
      <c r="N32" s="4">
        <v>3.0</v>
      </c>
      <c r="O32" s="4">
        <v>13054.0</v>
      </c>
      <c r="Q32" s="4">
        <v>19.0</v>
      </c>
      <c r="R32" s="22">
        <v>0.038484</v>
      </c>
      <c r="S32" s="4">
        <v>20.0</v>
      </c>
      <c r="T32" s="4">
        <v>43366.0</v>
      </c>
      <c r="U32" s="4">
        <v>45920.0</v>
      </c>
      <c r="V32" s="4">
        <v>39508.0</v>
      </c>
      <c r="W32" s="4">
        <v>19667.0</v>
      </c>
      <c r="X32" s="4">
        <v>13057.0</v>
      </c>
      <c r="Y32" s="4">
        <v>12920.0</v>
      </c>
      <c r="Z32" s="4">
        <v>1668.0</v>
      </c>
      <c r="AA32" s="4">
        <v>37840.0</v>
      </c>
      <c r="AB32" s="4">
        <v>758.0</v>
      </c>
      <c r="AC32" s="4">
        <v>18909.0</v>
      </c>
      <c r="AD32" s="4">
        <v>3.0</v>
      </c>
      <c r="AE32" s="4">
        <v>13054.0</v>
      </c>
    </row>
    <row r="33" ht="15.75" customHeight="1">
      <c r="A33" s="9">
        <v>20.0</v>
      </c>
      <c r="B33" s="23">
        <v>0.037836</v>
      </c>
      <c r="C33" s="9">
        <v>38.0</v>
      </c>
      <c r="D33" s="9">
        <v>43373.0</v>
      </c>
      <c r="E33" s="9">
        <v>45898.0</v>
      </c>
      <c r="F33" s="9">
        <v>39404.0</v>
      </c>
      <c r="G33" s="9">
        <v>19682.0</v>
      </c>
      <c r="H33" s="9">
        <v>13041.0</v>
      </c>
      <c r="I33" s="9">
        <v>13047.0</v>
      </c>
      <c r="J33" s="9">
        <v>1719.0</v>
      </c>
      <c r="K33" s="9">
        <v>37685.0</v>
      </c>
      <c r="L33" s="9">
        <v>726.0</v>
      </c>
      <c r="M33" s="9">
        <v>18956.0</v>
      </c>
      <c r="N33" s="9">
        <v>5.0</v>
      </c>
      <c r="O33" s="9">
        <v>13036.0</v>
      </c>
      <c r="Q33" s="9">
        <v>20.0</v>
      </c>
      <c r="R33" s="23">
        <v>0.036398</v>
      </c>
      <c r="S33" s="9">
        <v>20.0</v>
      </c>
      <c r="T33" s="9">
        <v>43373.0</v>
      </c>
      <c r="U33" s="9">
        <v>45898.0</v>
      </c>
      <c r="V33" s="9">
        <v>39404.0</v>
      </c>
      <c r="W33" s="9">
        <v>19682.0</v>
      </c>
      <c r="X33" s="9">
        <v>13041.0</v>
      </c>
      <c r="Y33" s="9">
        <v>13047.0</v>
      </c>
      <c r="Z33" s="9">
        <v>1719.0</v>
      </c>
      <c r="AA33" s="9">
        <v>37685.0</v>
      </c>
      <c r="AB33" s="9">
        <v>726.0</v>
      </c>
      <c r="AC33" s="9">
        <v>18956.0</v>
      </c>
      <c r="AD33" s="9">
        <v>5.0</v>
      </c>
      <c r="AE33" s="9">
        <v>13036.0</v>
      </c>
    </row>
    <row r="34" ht="15.75" customHeight="1">
      <c r="A34" s="4">
        <v>21.0</v>
      </c>
      <c r="B34" s="22">
        <v>0.037659</v>
      </c>
      <c r="C34" s="4">
        <v>37.0</v>
      </c>
      <c r="D34" s="4">
        <v>43320.0</v>
      </c>
      <c r="E34" s="4">
        <v>45811.0</v>
      </c>
      <c r="F34" s="4">
        <v>39299.0</v>
      </c>
      <c r="G34" s="4">
        <v>19765.0</v>
      </c>
      <c r="H34" s="4">
        <v>12969.0</v>
      </c>
      <c r="I34" s="4">
        <v>13228.0</v>
      </c>
      <c r="J34" s="4">
        <v>1664.0</v>
      </c>
      <c r="K34" s="4">
        <v>37635.0</v>
      </c>
      <c r="L34" s="4">
        <v>743.0</v>
      </c>
      <c r="M34" s="4">
        <v>19022.0</v>
      </c>
      <c r="N34" s="4">
        <v>1.0</v>
      </c>
      <c r="O34" s="4">
        <v>12968.0</v>
      </c>
      <c r="Q34" s="4">
        <v>21.0</v>
      </c>
      <c r="R34" s="22">
        <v>0.040413</v>
      </c>
      <c r="S34" s="4">
        <v>21.0</v>
      </c>
      <c r="T34" s="4">
        <v>43320.0</v>
      </c>
      <c r="U34" s="4">
        <v>45811.0</v>
      </c>
      <c r="V34" s="4">
        <v>39299.0</v>
      </c>
      <c r="W34" s="4">
        <v>19765.0</v>
      </c>
      <c r="X34" s="4">
        <v>12969.0</v>
      </c>
      <c r="Y34" s="4">
        <v>13228.0</v>
      </c>
      <c r="Z34" s="4">
        <v>1664.0</v>
      </c>
      <c r="AA34" s="4">
        <v>37635.0</v>
      </c>
      <c r="AB34" s="4">
        <v>743.0</v>
      </c>
      <c r="AC34" s="4">
        <v>19022.0</v>
      </c>
      <c r="AD34" s="4">
        <v>1.0</v>
      </c>
      <c r="AE34" s="4">
        <v>12968.0</v>
      </c>
    </row>
    <row r="35" ht="15.75" customHeight="1">
      <c r="A35" s="9">
        <v>22.0</v>
      </c>
      <c r="B35" s="23">
        <v>0.042778</v>
      </c>
      <c r="C35" s="9">
        <v>39.0</v>
      </c>
      <c r="D35" s="9">
        <v>43444.0</v>
      </c>
      <c r="E35" s="9">
        <v>45943.0</v>
      </c>
      <c r="F35" s="9">
        <v>39208.0</v>
      </c>
      <c r="G35" s="9">
        <v>19846.0</v>
      </c>
      <c r="H35" s="9">
        <v>13059.0</v>
      </c>
      <c r="I35" s="9">
        <v>13016.0</v>
      </c>
      <c r="J35" s="9">
        <v>1652.0</v>
      </c>
      <c r="K35" s="9">
        <v>37556.0</v>
      </c>
      <c r="L35" s="9">
        <v>768.0</v>
      </c>
      <c r="M35" s="9">
        <v>19078.0</v>
      </c>
      <c r="N35" s="9">
        <v>3.0</v>
      </c>
      <c r="O35" s="9">
        <v>13056.0</v>
      </c>
      <c r="Q35" s="9">
        <v>22.0</v>
      </c>
      <c r="R35" s="23">
        <v>0.047081</v>
      </c>
      <c r="S35" s="9">
        <v>20.0</v>
      </c>
      <c r="T35" s="9">
        <v>43444.0</v>
      </c>
      <c r="U35" s="9">
        <v>45943.0</v>
      </c>
      <c r="V35" s="9">
        <v>39208.0</v>
      </c>
      <c r="W35" s="9">
        <v>19846.0</v>
      </c>
      <c r="X35" s="9">
        <v>13059.0</v>
      </c>
      <c r="Y35" s="9">
        <v>13016.0</v>
      </c>
      <c r="Z35" s="9">
        <v>1652.0</v>
      </c>
      <c r="AA35" s="9">
        <v>37556.0</v>
      </c>
      <c r="AB35" s="9">
        <v>768.0</v>
      </c>
      <c r="AC35" s="9">
        <v>19078.0</v>
      </c>
      <c r="AD35" s="9">
        <v>3.0</v>
      </c>
      <c r="AE35" s="9">
        <v>13056.0</v>
      </c>
    </row>
    <row r="36" ht="15.75" customHeight="1">
      <c r="A36" s="4">
        <v>23.0</v>
      </c>
      <c r="B36" s="22">
        <v>0.053112</v>
      </c>
      <c r="C36" s="4">
        <v>37.0</v>
      </c>
      <c r="D36" s="4">
        <v>43564.0</v>
      </c>
      <c r="E36" s="4">
        <v>46052.0</v>
      </c>
      <c r="F36" s="4">
        <v>39238.0</v>
      </c>
      <c r="G36" s="4">
        <v>19593.0</v>
      </c>
      <c r="H36" s="4">
        <v>13095.0</v>
      </c>
      <c r="I36" s="4">
        <v>13094.0</v>
      </c>
      <c r="J36" s="4">
        <v>1691.0</v>
      </c>
      <c r="K36" s="4">
        <v>37547.0</v>
      </c>
      <c r="L36" s="4">
        <v>787.0</v>
      </c>
      <c r="M36" s="4">
        <v>18806.0</v>
      </c>
      <c r="N36" s="4">
        <v>7.0</v>
      </c>
      <c r="O36" s="4">
        <v>13088.0</v>
      </c>
      <c r="Q36" s="4">
        <v>23.0</v>
      </c>
      <c r="R36" s="22">
        <v>0.046607</v>
      </c>
      <c r="S36" s="4">
        <v>21.0</v>
      </c>
      <c r="T36" s="4">
        <v>43564.0</v>
      </c>
      <c r="U36" s="4">
        <v>46052.0</v>
      </c>
      <c r="V36" s="4">
        <v>39238.0</v>
      </c>
      <c r="W36" s="4">
        <v>19593.0</v>
      </c>
      <c r="X36" s="4">
        <v>13095.0</v>
      </c>
      <c r="Y36" s="4">
        <v>13094.0</v>
      </c>
      <c r="Z36" s="4">
        <v>1691.0</v>
      </c>
      <c r="AA36" s="4">
        <v>37547.0</v>
      </c>
      <c r="AB36" s="4">
        <v>787.0</v>
      </c>
      <c r="AC36" s="4">
        <v>18806.0</v>
      </c>
      <c r="AD36" s="4">
        <v>7.0</v>
      </c>
      <c r="AE36" s="4">
        <v>13088.0</v>
      </c>
    </row>
    <row r="37" ht="15.75" customHeight="1">
      <c r="A37" s="9">
        <v>24.0</v>
      </c>
      <c r="B37" s="23">
        <v>0.037528</v>
      </c>
      <c r="C37" s="9">
        <v>39.0</v>
      </c>
      <c r="D37" s="9">
        <v>43465.0</v>
      </c>
      <c r="E37" s="9">
        <v>45987.0</v>
      </c>
      <c r="F37" s="9">
        <v>39139.0</v>
      </c>
      <c r="G37" s="9">
        <v>19754.0</v>
      </c>
      <c r="H37" s="9">
        <v>13033.0</v>
      </c>
      <c r="I37" s="9">
        <v>13159.0</v>
      </c>
      <c r="J37" s="9">
        <v>1667.0</v>
      </c>
      <c r="K37" s="9">
        <v>37472.0</v>
      </c>
      <c r="L37" s="9">
        <v>767.0</v>
      </c>
      <c r="M37" s="9">
        <v>18987.0</v>
      </c>
      <c r="N37" s="9">
        <v>5.0</v>
      </c>
      <c r="O37" s="9">
        <v>13028.0</v>
      </c>
      <c r="Q37" s="9">
        <v>24.0</v>
      </c>
      <c r="R37" s="23">
        <v>0.038871</v>
      </c>
      <c r="S37" s="9">
        <v>21.0</v>
      </c>
      <c r="T37" s="9">
        <v>43465.0</v>
      </c>
      <c r="U37" s="9">
        <v>45987.0</v>
      </c>
      <c r="V37" s="9">
        <v>39139.0</v>
      </c>
      <c r="W37" s="9">
        <v>19754.0</v>
      </c>
      <c r="X37" s="9">
        <v>13033.0</v>
      </c>
      <c r="Y37" s="9">
        <v>13159.0</v>
      </c>
      <c r="Z37" s="9">
        <v>1667.0</v>
      </c>
      <c r="AA37" s="9">
        <v>37472.0</v>
      </c>
      <c r="AB37" s="9">
        <v>767.0</v>
      </c>
      <c r="AC37" s="9">
        <v>18987.0</v>
      </c>
      <c r="AD37" s="9">
        <v>5.0</v>
      </c>
      <c r="AE37" s="9">
        <v>13028.0</v>
      </c>
    </row>
    <row r="38" ht="15.75" customHeight="1">
      <c r="A38" s="4">
        <v>25.0</v>
      </c>
      <c r="B38" s="22">
        <v>0.036408</v>
      </c>
      <c r="C38" s="4">
        <v>33.0</v>
      </c>
      <c r="D38" s="4">
        <v>43035.0</v>
      </c>
      <c r="E38" s="4">
        <v>45541.0</v>
      </c>
      <c r="F38" s="4">
        <v>39658.0</v>
      </c>
      <c r="G38" s="4">
        <v>19792.0</v>
      </c>
      <c r="H38" s="4">
        <v>13020.0</v>
      </c>
      <c r="I38" s="4">
        <v>13061.0</v>
      </c>
      <c r="J38" s="4">
        <v>1634.0</v>
      </c>
      <c r="K38" s="4">
        <v>38024.0</v>
      </c>
      <c r="L38" s="4">
        <v>738.0</v>
      </c>
      <c r="M38" s="4">
        <v>19054.0</v>
      </c>
      <c r="N38" s="4">
        <v>3.0</v>
      </c>
      <c r="O38" s="4">
        <v>13017.0</v>
      </c>
      <c r="Q38" s="4">
        <v>25.0</v>
      </c>
      <c r="R38" s="22">
        <v>0.037869</v>
      </c>
      <c r="S38" s="4">
        <v>21.0</v>
      </c>
      <c r="T38" s="4">
        <v>43035.0</v>
      </c>
      <c r="U38" s="4">
        <v>45541.0</v>
      </c>
      <c r="V38" s="4">
        <v>39658.0</v>
      </c>
      <c r="W38" s="4">
        <v>19792.0</v>
      </c>
      <c r="X38" s="4">
        <v>13020.0</v>
      </c>
      <c r="Y38" s="4">
        <v>13061.0</v>
      </c>
      <c r="Z38" s="4">
        <v>1634.0</v>
      </c>
      <c r="AA38" s="4">
        <v>38024.0</v>
      </c>
      <c r="AB38" s="4">
        <v>738.0</v>
      </c>
      <c r="AC38" s="4">
        <v>19054.0</v>
      </c>
      <c r="AD38" s="4">
        <v>3.0</v>
      </c>
      <c r="AE38" s="4">
        <v>13017.0</v>
      </c>
    </row>
    <row r="39" ht="15.75" customHeight="1">
      <c r="A39" s="9">
        <v>26.0</v>
      </c>
      <c r="B39" s="23">
        <v>0.053259</v>
      </c>
      <c r="C39" s="9">
        <v>38.0</v>
      </c>
      <c r="D39" s="9">
        <v>43372.0</v>
      </c>
      <c r="E39" s="9">
        <v>45925.0</v>
      </c>
      <c r="F39" s="9">
        <v>39192.0</v>
      </c>
      <c r="G39" s="9">
        <v>19684.0</v>
      </c>
      <c r="H39" s="9">
        <v>13201.0</v>
      </c>
      <c r="I39" s="9">
        <v>13070.0</v>
      </c>
      <c r="J39" s="9">
        <v>1666.0</v>
      </c>
      <c r="K39" s="9">
        <v>37526.0</v>
      </c>
      <c r="L39" s="9">
        <v>754.0</v>
      </c>
      <c r="M39" s="9">
        <v>18930.0</v>
      </c>
      <c r="N39" s="9">
        <v>3.0</v>
      </c>
      <c r="O39" s="9">
        <v>13198.0</v>
      </c>
      <c r="Q39" s="9">
        <v>26.0</v>
      </c>
      <c r="R39" s="23">
        <v>0.054426</v>
      </c>
      <c r="S39" s="9">
        <v>21.0</v>
      </c>
      <c r="T39" s="9">
        <v>43372.0</v>
      </c>
      <c r="U39" s="9">
        <v>45925.0</v>
      </c>
      <c r="V39" s="9">
        <v>39192.0</v>
      </c>
      <c r="W39" s="9">
        <v>19684.0</v>
      </c>
      <c r="X39" s="9">
        <v>13201.0</v>
      </c>
      <c r="Y39" s="9">
        <v>13070.0</v>
      </c>
      <c r="Z39" s="9">
        <v>1666.0</v>
      </c>
      <c r="AA39" s="9">
        <v>37526.0</v>
      </c>
      <c r="AB39" s="9">
        <v>754.0</v>
      </c>
      <c r="AC39" s="9">
        <v>18930.0</v>
      </c>
      <c r="AD39" s="9">
        <v>3.0</v>
      </c>
      <c r="AE39" s="9">
        <v>13198.0</v>
      </c>
    </row>
    <row r="40" ht="15.75" customHeight="1">
      <c r="A40" s="4">
        <v>27.0</v>
      </c>
      <c r="B40" s="22">
        <v>0.058322</v>
      </c>
      <c r="C40" s="4">
        <v>35.0</v>
      </c>
      <c r="D40" s="4">
        <v>43469.0</v>
      </c>
      <c r="E40" s="4">
        <v>45960.0</v>
      </c>
      <c r="F40" s="4">
        <v>39340.0</v>
      </c>
      <c r="G40" s="4">
        <v>19597.0</v>
      </c>
      <c r="H40" s="4">
        <v>13098.0</v>
      </c>
      <c r="I40" s="4">
        <v>13077.0</v>
      </c>
      <c r="J40" s="4">
        <v>1608.0</v>
      </c>
      <c r="K40" s="4">
        <v>37732.0</v>
      </c>
      <c r="L40" s="4">
        <v>792.0</v>
      </c>
      <c r="M40" s="4">
        <v>18805.0</v>
      </c>
      <c r="N40" s="4">
        <v>4.0</v>
      </c>
      <c r="O40" s="4">
        <v>13094.0</v>
      </c>
      <c r="Q40" s="4">
        <v>27.0</v>
      </c>
      <c r="R40" s="22">
        <v>0.042416</v>
      </c>
      <c r="S40" s="4">
        <v>21.0</v>
      </c>
      <c r="T40" s="4">
        <v>43469.0</v>
      </c>
      <c r="U40" s="4">
        <v>45960.0</v>
      </c>
      <c r="V40" s="4">
        <v>39340.0</v>
      </c>
      <c r="W40" s="4">
        <v>19597.0</v>
      </c>
      <c r="X40" s="4">
        <v>13098.0</v>
      </c>
      <c r="Y40" s="4">
        <v>13077.0</v>
      </c>
      <c r="Z40" s="4">
        <v>1608.0</v>
      </c>
      <c r="AA40" s="4">
        <v>37732.0</v>
      </c>
      <c r="AB40" s="4">
        <v>792.0</v>
      </c>
      <c r="AC40" s="4">
        <v>18805.0</v>
      </c>
      <c r="AD40" s="4">
        <v>4.0</v>
      </c>
      <c r="AE40" s="4">
        <v>13094.0</v>
      </c>
    </row>
    <row r="41" ht="15.75" customHeight="1">
      <c r="A41" s="9">
        <v>28.0</v>
      </c>
      <c r="B41" s="23">
        <v>0.050075</v>
      </c>
      <c r="C41" s="9">
        <v>37.0</v>
      </c>
      <c r="D41" s="9">
        <v>43284.0</v>
      </c>
      <c r="E41" s="9">
        <v>45742.0</v>
      </c>
      <c r="F41" s="9">
        <v>39225.0</v>
      </c>
      <c r="G41" s="9">
        <v>19707.0</v>
      </c>
      <c r="H41" s="9">
        <v>13413.0</v>
      </c>
      <c r="I41" s="9">
        <v>12985.0</v>
      </c>
      <c r="J41" s="9">
        <v>1609.0</v>
      </c>
      <c r="K41" s="9">
        <v>37616.0</v>
      </c>
      <c r="L41" s="9">
        <v>756.0</v>
      </c>
      <c r="M41" s="9">
        <v>18951.0</v>
      </c>
      <c r="N41" s="9">
        <v>6.0</v>
      </c>
      <c r="O41" s="9">
        <v>13407.0</v>
      </c>
      <c r="Q41" s="9">
        <v>28.0</v>
      </c>
      <c r="R41" s="23">
        <v>0.051126</v>
      </c>
      <c r="S41" s="9">
        <v>20.0</v>
      </c>
      <c r="T41" s="9">
        <v>43284.0</v>
      </c>
      <c r="U41" s="9">
        <v>45742.0</v>
      </c>
      <c r="V41" s="9">
        <v>39225.0</v>
      </c>
      <c r="W41" s="9">
        <v>19707.0</v>
      </c>
      <c r="X41" s="9">
        <v>13413.0</v>
      </c>
      <c r="Y41" s="9">
        <v>12985.0</v>
      </c>
      <c r="Z41" s="9">
        <v>1609.0</v>
      </c>
      <c r="AA41" s="9">
        <v>37616.0</v>
      </c>
      <c r="AB41" s="9">
        <v>756.0</v>
      </c>
      <c r="AC41" s="9">
        <v>18951.0</v>
      </c>
      <c r="AD41" s="9">
        <v>6.0</v>
      </c>
      <c r="AE41" s="9">
        <v>13407.0</v>
      </c>
    </row>
    <row r="42" ht="15.75" customHeight="1">
      <c r="A42" s="4">
        <v>29.0</v>
      </c>
      <c r="B42" s="22">
        <v>0.044856</v>
      </c>
      <c r="C42" s="4">
        <v>33.0</v>
      </c>
      <c r="D42" s="4">
        <v>43602.0</v>
      </c>
      <c r="E42" s="4">
        <v>46116.0</v>
      </c>
      <c r="F42" s="4">
        <v>39498.0</v>
      </c>
      <c r="G42" s="4">
        <v>19521.0</v>
      </c>
      <c r="H42" s="4">
        <v>12984.0</v>
      </c>
      <c r="I42" s="4">
        <v>12953.0</v>
      </c>
      <c r="J42" s="4">
        <v>1667.0</v>
      </c>
      <c r="K42" s="4">
        <v>37831.0</v>
      </c>
      <c r="L42" s="4">
        <v>728.0</v>
      </c>
      <c r="M42" s="4">
        <v>18793.0</v>
      </c>
      <c r="N42" s="4">
        <v>0.0</v>
      </c>
      <c r="O42" s="4">
        <v>12984.0</v>
      </c>
      <c r="Q42" s="4">
        <v>29.0</v>
      </c>
      <c r="R42" s="22">
        <v>0.038101</v>
      </c>
      <c r="S42" s="4">
        <v>21.0</v>
      </c>
      <c r="T42" s="4">
        <v>43602.0</v>
      </c>
      <c r="U42" s="4">
        <v>46116.0</v>
      </c>
      <c r="V42" s="4">
        <v>39498.0</v>
      </c>
      <c r="W42" s="4">
        <v>19521.0</v>
      </c>
      <c r="X42" s="4">
        <v>12984.0</v>
      </c>
      <c r="Y42" s="4">
        <v>12953.0</v>
      </c>
      <c r="Z42" s="4">
        <v>1667.0</v>
      </c>
      <c r="AA42" s="4">
        <v>37831.0</v>
      </c>
      <c r="AB42" s="4">
        <v>728.0</v>
      </c>
      <c r="AC42" s="4">
        <v>18793.0</v>
      </c>
      <c r="AD42" s="4">
        <v>0.0</v>
      </c>
      <c r="AE42" s="4">
        <v>12984.0</v>
      </c>
    </row>
    <row r="43" ht="15.75" customHeight="1">
      <c r="A43" s="9">
        <v>30.0</v>
      </c>
      <c r="B43" s="23">
        <v>0.045773</v>
      </c>
      <c r="C43" s="9">
        <v>37.0</v>
      </c>
      <c r="D43" s="9">
        <v>43331.0</v>
      </c>
      <c r="E43" s="9">
        <v>45807.0</v>
      </c>
      <c r="F43" s="9">
        <v>39238.0</v>
      </c>
      <c r="G43" s="9">
        <v>19594.0</v>
      </c>
      <c r="H43" s="9">
        <v>13252.0</v>
      </c>
      <c r="I43" s="9">
        <v>13181.0</v>
      </c>
      <c r="J43" s="9">
        <v>1649.0</v>
      </c>
      <c r="K43" s="9">
        <v>37589.0</v>
      </c>
      <c r="L43" s="9">
        <v>729.0</v>
      </c>
      <c r="M43" s="9">
        <v>18865.0</v>
      </c>
      <c r="N43" s="9">
        <v>0.0</v>
      </c>
      <c r="O43" s="9">
        <v>13252.0</v>
      </c>
      <c r="Q43" s="9">
        <v>30.0</v>
      </c>
      <c r="R43" s="23">
        <v>0.035523</v>
      </c>
      <c r="S43" s="9">
        <v>21.0</v>
      </c>
      <c r="T43" s="9">
        <v>43331.0</v>
      </c>
      <c r="U43" s="9">
        <v>45807.0</v>
      </c>
      <c r="V43" s="9">
        <v>39238.0</v>
      </c>
      <c r="W43" s="9">
        <v>19594.0</v>
      </c>
      <c r="X43" s="9">
        <v>13252.0</v>
      </c>
      <c r="Y43" s="9">
        <v>13181.0</v>
      </c>
      <c r="Z43" s="9">
        <v>1649.0</v>
      </c>
      <c r="AA43" s="9">
        <v>37589.0</v>
      </c>
      <c r="AB43" s="9">
        <v>729.0</v>
      </c>
      <c r="AC43" s="9">
        <v>18865.0</v>
      </c>
      <c r="AD43" s="9">
        <v>0.0</v>
      </c>
      <c r="AE43" s="9">
        <v>13252.0</v>
      </c>
    </row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1.71"/>
    <col customWidth="1" min="2" max="2" width="14.71"/>
    <col customWidth="1" min="3" max="15" width="11.71"/>
    <col customWidth="1" min="16" max="16" width="3.71"/>
    <col customWidth="1" min="17" max="17" width="11.71"/>
    <col customWidth="1" min="18" max="18" width="14.71"/>
    <col customWidth="1" min="19" max="31" width="11.71"/>
    <col customWidth="1" min="32" max="48" width="8.71"/>
  </cols>
  <sheetData>
    <row r="1">
      <c r="A1" s="1" t="s">
        <v>70</v>
      </c>
    </row>
    <row r="3">
      <c r="B3" s="2" t="s">
        <v>39</v>
      </c>
    </row>
    <row r="4">
      <c r="B4" s="3" t="s">
        <v>40</v>
      </c>
      <c r="C4" s="3" t="s">
        <v>6</v>
      </c>
      <c r="D4" s="3" t="s">
        <v>7</v>
      </c>
    </row>
    <row r="5">
      <c r="B5" s="18" t="s">
        <v>41</v>
      </c>
      <c r="C5" s="5">
        <f>MIN(B14:B43)</f>
        <v>0.090941</v>
      </c>
      <c r="D5" s="5">
        <f>MIN(R14:R43)</f>
        <v>0.085616</v>
      </c>
    </row>
    <row r="6">
      <c r="B6" s="18" t="s">
        <v>42</v>
      </c>
      <c r="C6" s="5">
        <f>MAX(B14:B43)</f>
        <v>0.143083</v>
      </c>
      <c r="D6" s="5">
        <f>MAX(R14:R43)</f>
        <v>0.132946</v>
      </c>
    </row>
    <row r="7">
      <c r="B7" s="18" t="s">
        <v>43</v>
      </c>
      <c r="C7" s="5">
        <f>AVERAGE(B14:B43)</f>
        <v>0.1079829667</v>
      </c>
      <c r="D7" s="5">
        <f>AVERAGE(R14:R43)</f>
        <v>0.09980643333</v>
      </c>
    </row>
    <row r="8">
      <c r="B8" s="18" t="s">
        <v>44</v>
      </c>
      <c r="C8" s="5">
        <f>_xlfn.STDEV.S(B14:B43)</f>
        <v>0.01259493235</v>
      </c>
      <c r="D8" s="5">
        <f>_xlfn.STDEV.S(R14:R43)</f>
        <v>0.01214452621</v>
      </c>
    </row>
    <row r="9">
      <c r="B9" s="18" t="s">
        <v>45</v>
      </c>
      <c r="C9" s="6">
        <f t="shared" ref="C9:D9" si="1">C7/C6</f>
        <v>0.7546876056</v>
      </c>
      <c r="D9" s="6">
        <f t="shared" si="1"/>
        <v>0.7507291181</v>
      </c>
    </row>
    <row r="10">
      <c r="B10" s="18" t="s">
        <v>46</v>
      </c>
      <c r="C10" s="6">
        <f>AVERAGE(C14:C43)</f>
        <v>38.93333333</v>
      </c>
      <c r="D10" s="6">
        <f>AVERAGE(S14:S43)</f>
        <v>22.03333333</v>
      </c>
    </row>
    <row r="11">
      <c r="B11" s="18" t="s">
        <v>47</v>
      </c>
      <c r="C11" s="19">
        <f>MAX(C14:C43)</f>
        <v>46</v>
      </c>
      <c r="D11" s="19">
        <f>MAX(S14:S43)</f>
        <v>24</v>
      </c>
    </row>
    <row r="12">
      <c r="A12" s="2" t="s">
        <v>48</v>
      </c>
      <c r="Q12" s="2" t="s">
        <v>49</v>
      </c>
    </row>
    <row r="13">
      <c r="A13" s="20" t="s">
        <v>50</v>
      </c>
      <c r="B13" s="20" t="s">
        <v>51</v>
      </c>
      <c r="C13" s="20" t="s">
        <v>52</v>
      </c>
      <c r="D13" s="20" t="s">
        <v>53</v>
      </c>
      <c r="E13" s="20" t="s">
        <v>54</v>
      </c>
      <c r="F13" s="20" t="s">
        <v>55</v>
      </c>
      <c r="G13" s="20" t="s">
        <v>56</v>
      </c>
      <c r="H13" s="20" t="s">
        <v>57</v>
      </c>
      <c r="I13" s="20" t="s">
        <v>58</v>
      </c>
      <c r="J13" s="20" t="s">
        <v>59</v>
      </c>
      <c r="K13" s="20" t="s">
        <v>60</v>
      </c>
      <c r="L13" s="20" t="s">
        <v>61</v>
      </c>
      <c r="M13" s="20" t="s">
        <v>62</v>
      </c>
      <c r="N13" s="20" t="s">
        <v>63</v>
      </c>
      <c r="O13" s="20" t="s">
        <v>64</v>
      </c>
      <c r="Q13" s="21" t="s">
        <v>50</v>
      </c>
      <c r="R13" s="21" t="s">
        <v>51</v>
      </c>
      <c r="S13" s="21" t="s">
        <v>52</v>
      </c>
      <c r="T13" s="21" t="s">
        <v>53</v>
      </c>
      <c r="U13" s="21" t="s">
        <v>54</v>
      </c>
      <c r="V13" s="21" t="s">
        <v>55</v>
      </c>
      <c r="W13" s="21" t="s">
        <v>56</v>
      </c>
      <c r="X13" s="21" t="s">
        <v>57</v>
      </c>
      <c r="Y13" s="21" t="s">
        <v>58</v>
      </c>
      <c r="Z13" s="21" t="s">
        <v>59</v>
      </c>
      <c r="AA13" s="21" t="s">
        <v>60</v>
      </c>
      <c r="AB13" s="21" t="s">
        <v>61</v>
      </c>
      <c r="AC13" s="21" t="s">
        <v>62</v>
      </c>
      <c r="AD13" s="21" t="s">
        <v>63</v>
      </c>
      <c r="AE13" s="21" t="s">
        <v>64</v>
      </c>
    </row>
    <row r="14">
      <c r="A14" s="4">
        <v>1.0</v>
      </c>
      <c r="B14" s="22">
        <v>0.099288</v>
      </c>
      <c r="C14" s="4">
        <v>39.0</v>
      </c>
      <c r="D14" s="4">
        <v>87138.0</v>
      </c>
      <c r="E14" s="4">
        <v>92151.0</v>
      </c>
      <c r="F14" s="4">
        <v>78543.0</v>
      </c>
      <c r="G14" s="4">
        <v>39193.0</v>
      </c>
      <c r="H14" s="4">
        <v>25932.0</v>
      </c>
      <c r="I14" s="4">
        <v>26325.0</v>
      </c>
      <c r="J14" s="4">
        <v>3263.0</v>
      </c>
      <c r="K14" s="4">
        <v>75280.0</v>
      </c>
      <c r="L14" s="4">
        <v>1519.0</v>
      </c>
      <c r="M14" s="4">
        <v>37674.0</v>
      </c>
      <c r="N14" s="4">
        <v>7.0</v>
      </c>
      <c r="O14" s="4">
        <v>25925.0</v>
      </c>
      <c r="Q14" s="4">
        <v>1.0</v>
      </c>
      <c r="R14" s="22">
        <v>0.085834</v>
      </c>
      <c r="S14" s="4">
        <v>22.0</v>
      </c>
      <c r="T14" s="4">
        <v>87138.0</v>
      </c>
      <c r="U14" s="4">
        <v>92151.0</v>
      </c>
      <c r="V14" s="4">
        <v>78543.0</v>
      </c>
      <c r="W14" s="4">
        <v>39193.0</v>
      </c>
      <c r="X14" s="4">
        <v>25932.0</v>
      </c>
      <c r="Y14" s="4">
        <v>26325.0</v>
      </c>
      <c r="Z14" s="4">
        <v>3263.0</v>
      </c>
      <c r="AA14" s="4">
        <v>75280.0</v>
      </c>
      <c r="AB14" s="4">
        <v>1519.0</v>
      </c>
      <c r="AC14" s="4">
        <v>37674.0</v>
      </c>
      <c r="AD14" s="4">
        <v>7.0</v>
      </c>
      <c r="AE14" s="4">
        <v>25925.0</v>
      </c>
    </row>
    <row r="15">
      <c r="A15" s="9">
        <v>2.0</v>
      </c>
      <c r="B15" s="23">
        <v>0.090941</v>
      </c>
      <c r="C15" s="9">
        <v>40.0</v>
      </c>
      <c r="D15" s="9">
        <v>86681.0</v>
      </c>
      <c r="E15" s="9">
        <v>91583.0</v>
      </c>
      <c r="F15" s="9">
        <v>79031.0</v>
      </c>
      <c r="G15" s="9">
        <v>39521.0</v>
      </c>
      <c r="H15" s="9">
        <v>26051.0</v>
      </c>
      <c r="I15" s="9">
        <v>25958.0</v>
      </c>
      <c r="J15" s="9">
        <v>3423.0</v>
      </c>
      <c r="K15" s="9">
        <v>75608.0</v>
      </c>
      <c r="L15" s="9">
        <v>1546.0</v>
      </c>
      <c r="M15" s="9">
        <v>37975.0</v>
      </c>
      <c r="N15" s="9">
        <v>7.0</v>
      </c>
      <c r="O15" s="9">
        <v>26044.0</v>
      </c>
      <c r="Q15" s="9">
        <v>2.0</v>
      </c>
      <c r="R15" s="23">
        <v>0.094687</v>
      </c>
      <c r="S15" s="9">
        <v>22.0</v>
      </c>
      <c r="T15" s="9">
        <v>86681.0</v>
      </c>
      <c r="U15" s="9">
        <v>91583.0</v>
      </c>
      <c r="V15" s="9">
        <v>79031.0</v>
      </c>
      <c r="W15" s="9">
        <v>39521.0</v>
      </c>
      <c r="X15" s="9">
        <v>26051.0</v>
      </c>
      <c r="Y15" s="9">
        <v>25958.0</v>
      </c>
      <c r="Z15" s="9">
        <v>3423.0</v>
      </c>
      <c r="AA15" s="9">
        <v>75608.0</v>
      </c>
      <c r="AB15" s="9">
        <v>1546.0</v>
      </c>
      <c r="AC15" s="9">
        <v>37975.0</v>
      </c>
      <c r="AD15" s="9">
        <v>7.0</v>
      </c>
      <c r="AE15" s="9">
        <v>26044.0</v>
      </c>
    </row>
    <row r="16">
      <c r="A16" s="4">
        <v>3.0</v>
      </c>
      <c r="B16" s="22">
        <v>0.115331</v>
      </c>
      <c r="C16" s="4">
        <v>39.0</v>
      </c>
      <c r="D16" s="4">
        <v>86934.0</v>
      </c>
      <c r="E16" s="4">
        <v>91930.0</v>
      </c>
      <c r="F16" s="4">
        <v>78687.0</v>
      </c>
      <c r="G16" s="4">
        <v>39141.0</v>
      </c>
      <c r="H16" s="4">
        <v>26355.0</v>
      </c>
      <c r="I16" s="4">
        <v>26031.0</v>
      </c>
      <c r="J16" s="4">
        <v>3332.0</v>
      </c>
      <c r="K16" s="4">
        <v>75355.0</v>
      </c>
      <c r="L16" s="4">
        <v>1555.0</v>
      </c>
      <c r="M16" s="4">
        <v>37586.0</v>
      </c>
      <c r="N16" s="4">
        <v>9.0</v>
      </c>
      <c r="O16" s="4">
        <v>26346.0</v>
      </c>
      <c r="Q16" s="4">
        <v>3.0</v>
      </c>
      <c r="R16" s="22">
        <v>0.093088</v>
      </c>
      <c r="S16" s="4">
        <v>22.0</v>
      </c>
      <c r="T16" s="4">
        <v>86934.0</v>
      </c>
      <c r="U16" s="4">
        <v>91930.0</v>
      </c>
      <c r="V16" s="4">
        <v>78687.0</v>
      </c>
      <c r="W16" s="4">
        <v>39141.0</v>
      </c>
      <c r="X16" s="4">
        <v>26355.0</v>
      </c>
      <c r="Y16" s="4">
        <v>26031.0</v>
      </c>
      <c r="Z16" s="4">
        <v>3332.0</v>
      </c>
      <c r="AA16" s="4">
        <v>75355.0</v>
      </c>
      <c r="AB16" s="4">
        <v>1555.0</v>
      </c>
      <c r="AC16" s="4">
        <v>37586.0</v>
      </c>
      <c r="AD16" s="4">
        <v>9.0</v>
      </c>
      <c r="AE16" s="4">
        <v>26346.0</v>
      </c>
    </row>
    <row r="17">
      <c r="A17" s="9">
        <v>4.0</v>
      </c>
      <c r="B17" s="23">
        <v>0.103546</v>
      </c>
      <c r="C17" s="9">
        <v>46.0</v>
      </c>
      <c r="D17" s="9">
        <v>86826.0</v>
      </c>
      <c r="E17" s="9">
        <v>91806.0</v>
      </c>
      <c r="F17" s="9">
        <v>78579.0</v>
      </c>
      <c r="G17" s="9">
        <v>38859.0</v>
      </c>
      <c r="H17" s="9">
        <v>26413.0</v>
      </c>
      <c r="I17" s="9">
        <v>26487.0</v>
      </c>
      <c r="J17" s="9">
        <v>3305.0</v>
      </c>
      <c r="K17" s="9">
        <v>75274.0</v>
      </c>
      <c r="L17" s="9">
        <v>1483.0</v>
      </c>
      <c r="M17" s="9">
        <v>37376.0</v>
      </c>
      <c r="N17" s="9">
        <v>10.0</v>
      </c>
      <c r="O17" s="9">
        <v>26403.0</v>
      </c>
      <c r="Q17" s="9">
        <v>4.0</v>
      </c>
      <c r="R17" s="23">
        <v>0.098145</v>
      </c>
      <c r="S17" s="9">
        <v>22.0</v>
      </c>
      <c r="T17" s="9">
        <v>86826.0</v>
      </c>
      <c r="U17" s="9">
        <v>91806.0</v>
      </c>
      <c r="V17" s="9">
        <v>78579.0</v>
      </c>
      <c r="W17" s="9">
        <v>38859.0</v>
      </c>
      <c r="X17" s="9">
        <v>26413.0</v>
      </c>
      <c r="Y17" s="9">
        <v>26487.0</v>
      </c>
      <c r="Z17" s="9">
        <v>3305.0</v>
      </c>
      <c r="AA17" s="9">
        <v>75274.0</v>
      </c>
      <c r="AB17" s="9">
        <v>1483.0</v>
      </c>
      <c r="AC17" s="9">
        <v>37376.0</v>
      </c>
      <c r="AD17" s="9">
        <v>10.0</v>
      </c>
      <c r="AE17" s="9">
        <v>26403.0</v>
      </c>
    </row>
    <row r="18">
      <c r="A18" s="4">
        <v>5.0</v>
      </c>
      <c r="B18" s="22">
        <v>0.108279</v>
      </c>
      <c r="C18" s="4">
        <v>39.0</v>
      </c>
      <c r="D18" s="4">
        <v>86820.0</v>
      </c>
      <c r="E18" s="4">
        <v>91650.0</v>
      </c>
      <c r="F18" s="4">
        <v>78879.0</v>
      </c>
      <c r="G18" s="4">
        <v>39253.0</v>
      </c>
      <c r="H18" s="4">
        <v>26352.0</v>
      </c>
      <c r="I18" s="4">
        <v>26010.0</v>
      </c>
      <c r="J18" s="4">
        <v>3340.0</v>
      </c>
      <c r="K18" s="4">
        <v>75539.0</v>
      </c>
      <c r="L18" s="4">
        <v>1531.0</v>
      </c>
      <c r="M18" s="4">
        <v>37722.0</v>
      </c>
      <c r="N18" s="4">
        <v>11.0</v>
      </c>
      <c r="O18" s="4">
        <v>26341.0</v>
      </c>
      <c r="Q18" s="4">
        <v>5.0</v>
      </c>
      <c r="R18" s="22">
        <v>0.09438</v>
      </c>
      <c r="S18" s="4">
        <v>22.0</v>
      </c>
      <c r="T18" s="4">
        <v>86820.0</v>
      </c>
      <c r="U18" s="4">
        <v>91650.0</v>
      </c>
      <c r="V18" s="4">
        <v>78879.0</v>
      </c>
      <c r="W18" s="4">
        <v>39253.0</v>
      </c>
      <c r="X18" s="4">
        <v>26352.0</v>
      </c>
      <c r="Y18" s="4">
        <v>26010.0</v>
      </c>
      <c r="Z18" s="4">
        <v>3340.0</v>
      </c>
      <c r="AA18" s="4">
        <v>75539.0</v>
      </c>
      <c r="AB18" s="4">
        <v>1531.0</v>
      </c>
      <c r="AC18" s="4">
        <v>37722.0</v>
      </c>
      <c r="AD18" s="4">
        <v>11.0</v>
      </c>
      <c r="AE18" s="4">
        <v>26341.0</v>
      </c>
    </row>
    <row r="19">
      <c r="A19" s="9">
        <v>6.0</v>
      </c>
      <c r="B19" s="23">
        <v>0.097433</v>
      </c>
      <c r="C19" s="9">
        <v>38.0</v>
      </c>
      <c r="D19" s="9">
        <v>87027.0</v>
      </c>
      <c r="E19" s="9">
        <v>92014.0</v>
      </c>
      <c r="F19" s="9">
        <v>78355.0</v>
      </c>
      <c r="G19" s="9">
        <v>39359.0</v>
      </c>
      <c r="H19" s="9">
        <v>26410.0</v>
      </c>
      <c r="I19" s="9">
        <v>26006.0</v>
      </c>
      <c r="J19" s="9">
        <v>3322.0</v>
      </c>
      <c r="K19" s="9">
        <v>75033.0</v>
      </c>
      <c r="L19" s="9">
        <v>1540.0</v>
      </c>
      <c r="M19" s="9">
        <v>37819.0</v>
      </c>
      <c r="N19" s="9">
        <v>3.0</v>
      </c>
      <c r="O19" s="9">
        <v>26407.0</v>
      </c>
      <c r="Q19" s="9">
        <v>6.0</v>
      </c>
      <c r="R19" s="23">
        <v>0.092988</v>
      </c>
      <c r="S19" s="9">
        <v>23.0</v>
      </c>
      <c r="T19" s="9">
        <v>87027.0</v>
      </c>
      <c r="U19" s="9">
        <v>92014.0</v>
      </c>
      <c r="V19" s="9">
        <v>78355.0</v>
      </c>
      <c r="W19" s="9">
        <v>39359.0</v>
      </c>
      <c r="X19" s="9">
        <v>26410.0</v>
      </c>
      <c r="Y19" s="9">
        <v>26006.0</v>
      </c>
      <c r="Z19" s="9">
        <v>3322.0</v>
      </c>
      <c r="AA19" s="9">
        <v>75033.0</v>
      </c>
      <c r="AB19" s="9">
        <v>1540.0</v>
      </c>
      <c r="AC19" s="9">
        <v>37819.0</v>
      </c>
      <c r="AD19" s="9">
        <v>3.0</v>
      </c>
      <c r="AE19" s="9">
        <v>26407.0</v>
      </c>
    </row>
    <row r="20">
      <c r="A20" s="4">
        <v>7.0</v>
      </c>
      <c r="B20" s="22">
        <v>0.10041</v>
      </c>
      <c r="C20" s="4">
        <v>40.0</v>
      </c>
      <c r="D20" s="4">
        <v>86407.0</v>
      </c>
      <c r="E20" s="4">
        <v>91403.0</v>
      </c>
      <c r="F20" s="4">
        <v>78729.0</v>
      </c>
      <c r="G20" s="4">
        <v>39261.0</v>
      </c>
      <c r="H20" s="4">
        <v>26286.0</v>
      </c>
      <c r="I20" s="4">
        <v>26465.0</v>
      </c>
      <c r="J20" s="4">
        <v>3310.0</v>
      </c>
      <c r="K20" s="4">
        <v>75419.0</v>
      </c>
      <c r="L20" s="4">
        <v>1494.0</v>
      </c>
      <c r="M20" s="4">
        <v>37767.0</v>
      </c>
      <c r="N20" s="4">
        <v>3.0</v>
      </c>
      <c r="O20" s="4">
        <v>26283.0</v>
      </c>
      <c r="Q20" s="4">
        <v>7.0</v>
      </c>
      <c r="R20" s="22">
        <v>0.114929</v>
      </c>
      <c r="S20" s="4">
        <v>22.0</v>
      </c>
      <c r="T20" s="4">
        <v>86407.0</v>
      </c>
      <c r="U20" s="4">
        <v>91403.0</v>
      </c>
      <c r="V20" s="4">
        <v>78729.0</v>
      </c>
      <c r="W20" s="4">
        <v>39261.0</v>
      </c>
      <c r="X20" s="4">
        <v>26286.0</v>
      </c>
      <c r="Y20" s="4">
        <v>26465.0</v>
      </c>
      <c r="Z20" s="4">
        <v>3310.0</v>
      </c>
      <c r="AA20" s="4">
        <v>75419.0</v>
      </c>
      <c r="AB20" s="4">
        <v>1494.0</v>
      </c>
      <c r="AC20" s="4">
        <v>37767.0</v>
      </c>
      <c r="AD20" s="4">
        <v>3.0</v>
      </c>
      <c r="AE20" s="4">
        <v>26283.0</v>
      </c>
    </row>
    <row r="21" ht="15.75" customHeight="1">
      <c r="A21" s="9">
        <v>8.0</v>
      </c>
      <c r="B21" s="23">
        <v>0.143083</v>
      </c>
      <c r="C21" s="9">
        <v>37.0</v>
      </c>
      <c r="D21" s="9">
        <v>86642.0</v>
      </c>
      <c r="E21" s="9">
        <v>91621.0</v>
      </c>
      <c r="F21" s="9">
        <v>78388.0</v>
      </c>
      <c r="G21" s="9">
        <v>39419.0</v>
      </c>
      <c r="H21" s="9">
        <v>26390.0</v>
      </c>
      <c r="I21" s="9">
        <v>26326.0</v>
      </c>
      <c r="J21" s="9">
        <v>3282.0</v>
      </c>
      <c r="K21" s="9">
        <v>75106.0</v>
      </c>
      <c r="L21" s="9">
        <v>1495.0</v>
      </c>
      <c r="M21" s="9">
        <v>37924.0</v>
      </c>
      <c r="N21" s="9">
        <v>6.0</v>
      </c>
      <c r="O21" s="9">
        <v>26384.0</v>
      </c>
      <c r="Q21" s="9">
        <v>8.0</v>
      </c>
      <c r="R21" s="23">
        <v>0.093854</v>
      </c>
      <c r="S21" s="9">
        <v>21.0</v>
      </c>
      <c r="T21" s="9">
        <v>86642.0</v>
      </c>
      <c r="U21" s="9">
        <v>91621.0</v>
      </c>
      <c r="V21" s="9">
        <v>78388.0</v>
      </c>
      <c r="W21" s="9">
        <v>39419.0</v>
      </c>
      <c r="X21" s="9">
        <v>26390.0</v>
      </c>
      <c r="Y21" s="9">
        <v>26326.0</v>
      </c>
      <c r="Z21" s="9">
        <v>3282.0</v>
      </c>
      <c r="AA21" s="9">
        <v>75106.0</v>
      </c>
      <c r="AB21" s="9">
        <v>1495.0</v>
      </c>
      <c r="AC21" s="9">
        <v>37924.0</v>
      </c>
      <c r="AD21" s="9">
        <v>6.0</v>
      </c>
      <c r="AE21" s="9">
        <v>26384.0</v>
      </c>
    </row>
    <row r="22" ht="15.75" customHeight="1">
      <c r="A22" s="4">
        <v>9.0</v>
      </c>
      <c r="B22" s="22">
        <v>0.097311</v>
      </c>
      <c r="C22" s="4">
        <v>40.0</v>
      </c>
      <c r="D22" s="4">
        <v>86703.0</v>
      </c>
      <c r="E22" s="4">
        <v>91740.0</v>
      </c>
      <c r="F22" s="4">
        <v>78509.0</v>
      </c>
      <c r="G22" s="4">
        <v>39237.0</v>
      </c>
      <c r="H22" s="4">
        <v>26292.0</v>
      </c>
      <c r="I22" s="4">
        <v>26366.0</v>
      </c>
      <c r="J22" s="4">
        <v>3338.0</v>
      </c>
      <c r="K22" s="4">
        <v>75171.0</v>
      </c>
      <c r="L22" s="4">
        <v>1522.0</v>
      </c>
      <c r="M22" s="4">
        <v>37715.0</v>
      </c>
      <c r="N22" s="4">
        <v>6.0</v>
      </c>
      <c r="O22" s="4">
        <v>26286.0</v>
      </c>
      <c r="Q22" s="4">
        <v>9.0</v>
      </c>
      <c r="R22" s="22">
        <v>0.091547</v>
      </c>
      <c r="S22" s="4">
        <v>22.0</v>
      </c>
      <c r="T22" s="4">
        <v>86703.0</v>
      </c>
      <c r="U22" s="4">
        <v>91740.0</v>
      </c>
      <c r="V22" s="4">
        <v>78509.0</v>
      </c>
      <c r="W22" s="4">
        <v>39237.0</v>
      </c>
      <c r="X22" s="4">
        <v>26292.0</v>
      </c>
      <c r="Y22" s="4">
        <v>26366.0</v>
      </c>
      <c r="Z22" s="4">
        <v>3338.0</v>
      </c>
      <c r="AA22" s="4">
        <v>75171.0</v>
      </c>
      <c r="AB22" s="4">
        <v>1522.0</v>
      </c>
      <c r="AC22" s="4">
        <v>37715.0</v>
      </c>
      <c r="AD22" s="4">
        <v>6.0</v>
      </c>
      <c r="AE22" s="4">
        <v>26286.0</v>
      </c>
    </row>
    <row r="23" ht="15.75" customHeight="1">
      <c r="A23" s="9">
        <v>10.0</v>
      </c>
      <c r="B23" s="23">
        <v>0.10785</v>
      </c>
      <c r="C23" s="9">
        <v>38.0</v>
      </c>
      <c r="D23" s="9">
        <v>86874.0</v>
      </c>
      <c r="E23" s="9">
        <v>91715.0</v>
      </c>
      <c r="F23" s="9">
        <v>78891.0</v>
      </c>
      <c r="G23" s="9">
        <v>39331.0</v>
      </c>
      <c r="H23" s="9">
        <v>26127.0</v>
      </c>
      <c r="I23" s="9">
        <v>26080.0</v>
      </c>
      <c r="J23" s="9">
        <v>3328.0</v>
      </c>
      <c r="K23" s="9">
        <v>75563.0</v>
      </c>
      <c r="L23" s="9">
        <v>1535.0</v>
      </c>
      <c r="M23" s="9">
        <v>37796.0</v>
      </c>
      <c r="N23" s="9">
        <v>2.0</v>
      </c>
      <c r="O23" s="9">
        <v>26125.0</v>
      </c>
      <c r="Q23" s="9">
        <v>10.0</v>
      </c>
      <c r="R23" s="23">
        <v>0.126413</v>
      </c>
      <c r="S23" s="9">
        <v>22.0</v>
      </c>
      <c r="T23" s="9">
        <v>86874.0</v>
      </c>
      <c r="U23" s="9">
        <v>91715.0</v>
      </c>
      <c r="V23" s="9">
        <v>78891.0</v>
      </c>
      <c r="W23" s="9">
        <v>39331.0</v>
      </c>
      <c r="X23" s="9">
        <v>26127.0</v>
      </c>
      <c r="Y23" s="9">
        <v>26080.0</v>
      </c>
      <c r="Z23" s="9">
        <v>3328.0</v>
      </c>
      <c r="AA23" s="9">
        <v>75563.0</v>
      </c>
      <c r="AB23" s="9">
        <v>1535.0</v>
      </c>
      <c r="AC23" s="9">
        <v>37796.0</v>
      </c>
      <c r="AD23" s="9">
        <v>2.0</v>
      </c>
      <c r="AE23" s="9">
        <v>26125.0</v>
      </c>
    </row>
    <row r="24" ht="15.75" customHeight="1">
      <c r="A24" s="4">
        <v>11.0</v>
      </c>
      <c r="B24" s="22">
        <v>0.129318</v>
      </c>
      <c r="C24" s="4">
        <v>38.0</v>
      </c>
      <c r="D24" s="4">
        <v>86838.0</v>
      </c>
      <c r="E24" s="4">
        <v>91865.0</v>
      </c>
      <c r="F24" s="4">
        <v>78376.0</v>
      </c>
      <c r="G24" s="4">
        <v>39277.0</v>
      </c>
      <c r="H24" s="4">
        <v>26371.0</v>
      </c>
      <c r="I24" s="4">
        <v>26255.0</v>
      </c>
      <c r="J24" s="4">
        <v>3255.0</v>
      </c>
      <c r="K24" s="4">
        <v>75121.0</v>
      </c>
      <c r="L24" s="4">
        <v>1512.0</v>
      </c>
      <c r="M24" s="4">
        <v>37765.0</v>
      </c>
      <c r="N24" s="4">
        <v>4.0</v>
      </c>
      <c r="O24" s="4">
        <v>26367.0</v>
      </c>
      <c r="Q24" s="4">
        <v>11.0</v>
      </c>
      <c r="R24" s="22">
        <v>0.112515</v>
      </c>
      <c r="S24" s="4">
        <v>22.0</v>
      </c>
      <c r="T24" s="4">
        <v>86838.0</v>
      </c>
      <c r="U24" s="4">
        <v>91865.0</v>
      </c>
      <c r="V24" s="4">
        <v>78376.0</v>
      </c>
      <c r="W24" s="4">
        <v>39277.0</v>
      </c>
      <c r="X24" s="4">
        <v>26371.0</v>
      </c>
      <c r="Y24" s="4">
        <v>26255.0</v>
      </c>
      <c r="Z24" s="4">
        <v>3255.0</v>
      </c>
      <c r="AA24" s="4">
        <v>75121.0</v>
      </c>
      <c r="AB24" s="4">
        <v>1512.0</v>
      </c>
      <c r="AC24" s="4">
        <v>37765.0</v>
      </c>
      <c r="AD24" s="4">
        <v>4.0</v>
      </c>
      <c r="AE24" s="4">
        <v>26367.0</v>
      </c>
    </row>
    <row r="25" ht="15.75" customHeight="1">
      <c r="A25" s="9">
        <v>12.0</v>
      </c>
      <c r="B25" s="23">
        <v>0.115993</v>
      </c>
      <c r="C25" s="9">
        <v>41.0</v>
      </c>
      <c r="D25" s="9">
        <v>86836.0</v>
      </c>
      <c r="E25" s="9">
        <v>91680.0</v>
      </c>
      <c r="F25" s="9">
        <v>78726.0</v>
      </c>
      <c r="G25" s="9">
        <v>39464.0</v>
      </c>
      <c r="H25" s="9">
        <v>26144.0</v>
      </c>
      <c r="I25" s="9">
        <v>26130.0</v>
      </c>
      <c r="J25" s="9">
        <v>3332.0</v>
      </c>
      <c r="K25" s="9">
        <v>75394.0</v>
      </c>
      <c r="L25" s="9">
        <v>1542.0</v>
      </c>
      <c r="M25" s="9">
        <v>37922.0</v>
      </c>
      <c r="N25" s="9">
        <v>9.0</v>
      </c>
      <c r="O25" s="9">
        <v>26135.0</v>
      </c>
      <c r="Q25" s="9">
        <v>12.0</v>
      </c>
      <c r="R25" s="23">
        <v>0.092148</v>
      </c>
      <c r="S25" s="9">
        <v>21.0</v>
      </c>
      <c r="T25" s="9">
        <v>86836.0</v>
      </c>
      <c r="U25" s="9">
        <v>91680.0</v>
      </c>
      <c r="V25" s="9">
        <v>78726.0</v>
      </c>
      <c r="W25" s="9">
        <v>39464.0</v>
      </c>
      <c r="X25" s="9">
        <v>26144.0</v>
      </c>
      <c r="Y25" s="9">
        <v>26130.0</v>
      </c>
      <c r="Z25" s="9">
        <v>3332.0</v>
      </c>
      <c r="AA25" s="9">
        <v>75394.0</v>
      </c>
      <c r="AB25" s="9">
        <v>1542.0</v>
      </c>
      <c r="AC25" s="9">
        <v>37922.0</v>
      </c>
      <c r="AD25" s="9">
        <v>9.0</v>
      </c>
      <c r="AE25" s="9">
        <v>26135.0</v>
      </c>
    </row>
    <row r="26" ht="15.75" customHeight="1">
      <c r="A26" s="4">
        <v>13.0</v>
      </c>
      <c r="B26" s="22">
        <v>0.10027</v>
      </c>
      <c r="C26" s="4">
        <v>41.0</v>
      </c>
      <c r="D26" s="4">
        <v>86737.0</v>
      </c>
      <c r="E26" s="4">
        <v>91754.0</v>
      </c>
      <c r="F26" s="4">
        <v>78638.0</v>
      </c>
      <c r="G26" s="4">
        <v>39325.0</v>
      </c>
      <c r="H26" s="4">
        <v>26316.0</v>
      </c>
      <c r="I26" s="4">
        <v>26111.0</v>
      </c>
      <c r="J26" s="4">
        <v>3179.0</v>
      </c>
      <c r="K26" s="4">
        <v>75459.0</v>
      </c>
      <c r="L26" s="4">
        <v>1486.0</v>
      </c>
      <c r="M26" s="4">
        <v>37839.0</v>
      </c>
      <c r="N26" s="4">
        <v>6.0</v>
      </c>
      <c r="O26" s="4">
        <v>26310.0</v>
      </c>
      <c r="Q26" s="4">
        <v>13.0</v>
      </c>
      <c r="R26" s="22">
        <v>0.085616</v>
      </c>
      <c r="S26" s="4">
        <v>22.0</v>
      </c>
      <c r="T26" s="4">
        <v>86737.0</v>
      </c>
      <c r="U26" s="4">
        <v>91754.0</v>
      </c>
      <c r="V26" s="4">
        <v>78638.0</v>
      </c>
      <c r="W26" s="4">
        <v>39325.0</v>
      </c>
      <c r="X26" s="4">
        <v>26316.0</v>
      </c>
      <c r="Y26" s="4">
        <v>26111.0</v>
      </c>
      <c r="Z26" s="4">
        <v>3179.0</v>
      </c>
      <c r="AA26" s="4">
        <v>75459.0</v>
      </c>
      <c r="AB26" s="4">
        <v>1486.0</v>
      </c>
      <c r="AC26" s="4">
        <v>37839.0</v>
      </c>
      <c r="AD26" s="4">
        <v>6.0</v>
      </c>
      <c r="AE26" s="4">
        <v>26310.0</v>
      </c>
    </row>
    <row r="27" ht="15.75" customHeight="1">
      <c r="A27" s="9">
        <v>14.0</v>
      </c>
      <c r="B27" s="23">
        <v>0.0957</v>
      </c>
      <c r="C27" s="9">
        <v>37.0</v>
      </c>
      <c r="D27" s="9">
        <v>87054.0</v>
      </c>
      <c r="E27" s="9">
        <v>92058.0</v>
      </c>
      <c r="F27" s="9">
        <v>78427.0</v>
      </c>
      <c r="G27" s="9">
        <v>39367.0</v>
      </c>
      <c r="H27" s="9">
        <v>26002.0</v>
      </c>
      <c r="I27" s="9">
        <v>26290.0</v>
      </c>
      <c r="J27" s="9">
        <v>3306.0</v>
      </c>
      <c r="K27" s="9">
        <v>75121.0</v>
      </c>
      <c r="L27" s="9">
        <v>1474.0</v>
      </c>
      <c r="M27" s="9">
        <v>37893.0</v>
      </c>
      <c r="N27" s="9">
        <v>8.0</v>
      </c>
      <c r="O27" s="9">
        <v>25994.0</v>
      </c>
      <c r="Q27" s="9">
        <v>14.0</v>
      </c>
      <c r="R27" s="23">
        <v>0.092759</v>
      </c>
      <c r="S27" s="9">
        <v>22.0</v>
      </c>
      <c r="T27" s="9">
        <v>87054.0</v>
      </c>
      <c r="U27" s="9">
        <v>92058.0</v>
      </c>
      <c r="V27" s="9">
        <v>78427.0</v>
      </c>
      <c r="W27" s="9">
        <v>39367.0</v>
      </c>
      <c r="X27" s="9">
        <v>26002.0</v>
      </c>
      <c r="Y27" s="9">
        <v>26290.0</v>
      </c>
      <c r="Z27" s="9">
        <v>3306.0</v>
      </c>
      <c r="AA27" s="9">
        <v>75121.0</v>
      </c>
      <c r="AB27" s="9">
        <v>1474.0</v>
      </c>
      <c r="AC27" s="9">
        <v>37893.0</v>
      </c>
      <c r="AD27" s="9">
        <v>8.0</v>
      </c>
      <c r="AE27" s="9">
        <v>25994.0</v>
      </c>
    </row>
    <row r="28" ht="15.75" customHeight="1">
      <c r="A28" s="4">
        <v>15.0</v>
      </c>
      <c r="B28" s="22">
        <v>0.113512</v>
      </c>
      <c r="C28" s="4">
        <v>37.0</v>
      </c>
      <c r="D28" s="4">
        <v>86856.0</v>
      </c>
      <c r="E28" s="4">
        <v>91974.0</v>
      </c>
      <c r="F28" s="4">
        <v>78345.0</v>
      </c>
      <c r="G28" s="4">
        <v>39390.0</v>
      </c>
      <c r="H28" s="4">
        <v>26130.0</v>
      </c>
      <c r="I28" s="4">
        <v>26305.0</v>
      </c>
      <c r="J28" s="4">
        <v>3278.0</v>
      </c>
      <c r="K28" s="4">
        <v>75067.0</v>
      </c>
      <c r="L28" s="4">
        <v>1526.0</v>
      </c>
      <c r="M28" s="4">
        <v>37864.0</v>
      </c>
      <c r="N28" s="4">
        <v>3.0</v>
      </c>
      <c r="O28" s="4">
        <v>26127.0</v>
      </c>
      <c r="Q28" s="4">
        <v>15.0</v>
      </c>
      <c r="R28" s="22">
        <v>0.100718</v>
      </c>
      <c r="S28" s="4">
        <v>22.0</v>
      </c>
      <c r="T28" s="4">
        <v>86856.0</v>
      </c>
      <c r="U28" s="4">
        <v>91974.0</v>
      </c>
      <c r="V28" s="4">
        <v>78345.0</v>
      </c>
      <c r="W28" s="4">
        <v>39390.0</v>
      </c>
      <c r="X28" s="4">
        <v>26130.0</v>
      </c>
      <c r="Y28" s="4">
        <v>26305.0</v>
      </c>
      <c r="Z28" s="4">
        <v>3278.0</v>
      </c>
      <c r="AA28" s="4">
        <v>75067.0</v>
      </c>
      <c r="AB28" s="4">
        <v>1526.0</v>
      </c>
      <c r="AC28" s="4">
        <v>37864.0</v>
      </c>
      <c r="AD28" s="4">
        <v>3.0</v>
      </c>
      <c r="AE28" s="4">
        <v>26127.0</v>
      </c>
    </row>
    <row r="29" ht="15.75" customHeight="1">
      <c r="A29" s="9">
        <v>16.0</v>
      </c>
      <c r="B29" s="23">
        <v>0.095105</v>
      </c>
      <c r="C29" s="9">
        <v>37.0</v>
      </c>
      <c r="D29" s="9">
        <v>86656.0</v>
      </c>
      <c r="E29" s="9">
        <v>91605.0</v>
      </c>
      <c r="F29" s="9">
        <v>78639.0</v>
      </c>
      <c r="G29" s="9">
        <v>39386.0</v>
      </c>
      <c r="H29" s="9">
        <v>26278.0</v>
      </c>
      <c r="I29" s="9">
        <v>26236.0</v>
      </c>
      <c r="J29" s="9">
        <v>3333.0</v>
      </c>
      <c r="K29" s="9">
        <v>75306.0</v>
      </c>
      <c r="L29" s="9">
        <v>1468.0</v>
      </c>
      <c r="M29" s="9">
        <v>37918.0</v>
      </c>
      <c r="N29" s="9">
        <v>5.0</v>
      </c>
      <c r="O29" s="9">
        <v>26273.0</v>
      </c>
      <c r="Q29" s="9">
        <v>16.0</v>
      </c>
      <c r="R29" s="23">
        <v>0.09392</v>
      </c>
      <c r="S29" s="9">
        <v>21.0</v>
      </c>
      <c r="T29" s="9">
        <v>86656.0</v>
      </c>
      <c r="U29" s="9">
        <v>91605.0</v>
      </c>
      <c r="V29" s="9">
        <v>78639.0</v>
      </c>
      <c r="W29" s="9">
        <v>39386.0</v>
      </c>
      <c r="X29" s="9">
        <v>26278.0</v>
      </c>
      <c r="Y29" s="9">
        <v>26236.0</v>
      </c>
      <c r="Z29" s="9">
        <v>3333.0</v>
      </c>
      <c r="AA29" s="9">
        <v>75306.0</v>
      </c>
      <c r="AB29" s="9">
        <v>1468.0</v>
      </c>
      <c r="AC29" s="9">
        <v>37918.0</v>
      </c>
      <c r="AD29" s="9">
        <v>5.0</v>
      </c>
      <c r="AE29" s="9">
        <v>26273.0</v>
      </c>
    </row>
    <row r="30" ht="15.75" customHeight="1">
      <c r="A30" s="4">
        <v>17.0</v>
      </c>
      <c r="B30" s="22">
        <v>0.10654</v>
      </c>
      <c r="C30" s="4">
        <v>39.0</v>
      </c>
      <c r="D30" s="4">
        <v>86991.0</v>
      </c>
      <c r="E30" s="4">
        <v>92010.0</v>
      </c>
      <c r="F30" s="4">
        <v>78855.0</v>
      </c>
      <c r="G30" s="4">
        <v>39155.0</v>
      </c>
      <c r="H30" s="4">
        <v>26004.0</v>
      </c>
      <c r="I30" s="4">
        <v>26120.0</v>
      </c>
      <c r="J30" s="4">
        <v>3360.0</v>
      </c>
      <c r="K30" s="4">
        <v>75495.0</v>
      </c>
      <c r="L30" s="4">
        <v>1475.0</v>
      </c>
      <c r="M30" s="4">
        <v>37680.0</v>
      </c>
      <c r="N30" s="4">
        <v>7.0</v>
      </c>
      <c r="O30" s="4">
        <v>25997.0</v>
      </c>
      <c r="Q30" s="4">
        <v>17.0</v>
      </c>
      <c r="R30" s="22">
        <v>0.100246</v>
      </c>
      <c r="S30" s="4">
        <v>22.0</v>
      </c>
      <c r="T30" s="4">
        <v>86991.0</v>
      </c>
      <c r="U30" s="4">
        <v>92010.0</v>
      </c>
      <c r="V30" s="4">
        <v>78855.0</v>
      </c>
      <c r="W30" s="4">
        <v>39155.0</v>
      </c>
      <c r="X30" s="4">
        <v>26004.0</v>
      </c>
      <c r="Y30" s="4">
        <v>26120.0</v>
      </c>
      <c r="Z30" s="4">
        <v>3360.0</v>
      </c>
      <c r="AA30" s="4">
        <v>75495.0</v>
      </c>
      <c r="AB30" s="4">
        <v>1475.0</v>
      </c>
      <c r="AC30" s="4">
        <v>37680.0</v>
      </c>
      <c r="AD30" s="4">
        <v>7.0</v>
      </c>
      <c r="AE30" s="4">
        <v>25997.0</v>
      </c>
    </row>
    <row r="31" ht="15.75" customHeight="1">
      <c r="A31" s="9">
        <v>18.0</v>
      </c>
      <c r="B31" s="23">
        <v>0.106412</v>
      </c>
      <c r="C31" s="9">
        <v>39.0</v>
      </c>
      <c r="D31" s="9">
        <v>86676.0</v>
      </c>
      <c r="E31" s="9">
        <v>91712.0</v>
      </c>
      <c r="F31" s="9">
        <v>78575.0</v>
      </c>
      <c r="G31" s="9">
        <v>39291.0</v>
      </c>
      <c r="H31" s="9">
        <v>26470.0</v>
      </c>
      <c r="I31" s="9">
        <v>26096.0</v>
      </c>
      <c r="J31" s="9">
        <v>3341.0</v>
      </c>
      <c r="K31" s="9">
        <v>75234.0</v>
      </c>
      <c r="L31" s="9">
        <v>1451.0</v>
      </c>
      <c r="M31" s="9">
        <v>37840.0</v>
      </c>
      <c r="N31" s="9">
        <v>9.0</v>
      </c>
      <c r="O31" s="9">
        <v>26461.0</v>
      </c>
      <c r="Q31" s="9">
        <v>18.0</v>
      </c>
      <c r="R31" s="23">
        <v>0.089994</v>
      </c>
      <c r="S31" s="9">
        <v>22.0</v>
      </c>
      <c r="T31" s="9">
        <v>86676.0</v>
      </c>
      <c r="U31" s="9">
        <v>91712.0</v>
      </c>
      <c r="V31" s="9">
        <v>78575.0</v>
      </c>
      <c r="W31" s="9">
        <v>39291.0</v>
      </c>
      <c r="X31" s="9">
        <v>26470.0</v>
      </c>
      <c r="Y31" s="9">
        <v>26096.0</v>
      </c>
      <c r="Z31" s="9">
        <v>3341.0</v>
      </c>
      <c r="AA31" s="9">
        <v>75234.0</v>
      </c>
      <c r="AB31" s="9">
        <v>1451.0</v>
      </c>
      <c r="AC31" s="9">
        <v>37840.0</v>
      </c>
      <c r="AD31" s="9">
        <v>9.0</v>
      </c>
      <c r="AE31" s="9">
        <v>26461.0</v>
      </c>
    </row>
    <row r="32" ht="15.75" customHeight="1">
      <c r="A32" s="4">
        <v>19.0</v>
      </c>
      <c r="B32" s="22">
        <v>0.100371</v>
      </c>
      <c r="C32" s="4">
        <v>37.0</v>
      </c>
      <c r="D32" s="4">
        <v>86942.0</v>
      </c>
      <c r="E32" s="4">
        <v>91957.0</v>
      </c>
      <c r="F32" s="4">
        <v>78632.0</v>
      </c>
      <c r="G32" s="4">
        <v>39375.0</v>
      </c>
      <c r="H32" s="4">
        <v>26122.0</v>
      </c>
      <c r="I32" s="4">
        <v>26058.0</v>
      </c>
      <c r="J32" s="4">
        <v>3342.0</v>
      </c>
      <c r="K32" s="4">
        <v>75290.0</v>
      </c>
      <c r="L32" s="4">
        <v>1513.0</v>
      </c>
      <c r="M32" s="4">
        <v>37862.0</v>
      </c>
      <c r="N32" s="4">
        <v>10.0</v>
      </c>
      <c r="O32" s="4">
        <v>26112.0</v>
      </c>
      <c r="Q32" s="4">
        <v>19.0</v>
      </c>
      <c r="R32" s="22">
        <v>0.097052</v>
      </c>
      <c r="S32" s="4">
        <v>22.0</v>
      </c>
      <c r="T32" s="4">
        <v>86942.0</v>
      </c>
      <c r="U32" s="4">
        <v>91957.0</v>
      </c>
      <c r="V32" s="4">
        <v>78632.0</v>
      </c>
      <c r="W32" s="4">
        <v>39375.0</v>
      </c>
      <c r="X32" s="4">
        <v>26122.0</v>
      </c>
      <c r="Y32" s="4">
        <v>26058.0</v>
      </c>
      <c r="Z32" s="4">
        <v>3342.0</v>
      </c>
      <c r="AA32" s="4">
        <v>75290.0</v>
      </c>
      <c r="AB32" s="4">
        <v>1513.0</v>
      </c>
      <c r="AC32" s="4">
        <v>37862.0</v>
      </c>
      <c r="AD32" s="4">
        <v>10.0</v>
      </c>
      <c r="AE32" s="4">
        <v>26112.0</v>
      </c>
    </row>
    <row r="33" ht="15.75" customHeight="1">
      <c r="A33" s="9">
        <v>20.0</v>
      </c>
      <c r="B33" s="23">
        <v>0.104932</v>
      </c>
      <c r="C33" s="9">
        <v>42.0</v>
      </c>
      <c r="D33" s="9">
        <v>86826.0</v>
      </c>
      <c r="E33" s="9">
        <v>91754.0</v>
      </c>
      <c r="F33" s="9">
        <v>78434.0</v>
      </c>
      <c r="G33" s="9">
        <v>39420.0</v>
      </c>
      <c r="H33" s="9">
        <v>26489.0</v>
      </c>
      <c r="I33" s="9">
        <v>26047.0</v>
      </c>
      <c r="J33" s="9">
        <v>3312.0</v>
      </c>
      <c r="K33" s="9">
        <v>75122.0</v>
      </c>
      <c r="L33" s="9">
        <v>1529.0</v>
      </c>
      <c r="M33" s="9">
        <v>37891.0</v>
      </c>
      <c r="N33" s="9">
        <v>5.0</v>
      </c>
      <c r="O33" s="9">
        <v>26484.0</v>
      </c>
      <c r="Q33" s="9">
        <v>20.0</v>
      </c>
      <c r="R33" s="23">
        <v>0.094467</v>
      </c>
      <c r="S33" s="9">
        <v>22.0</v>
      </c>
      <c r="T33" s="9">
        <v>86826.0</v>
      </c>
      <c r="U33" s="9">
        <v>91754.0</v>
      </c>
      <c r="V33" s="9">
        <v>78434.0</v>
      </c>
      <c r="W33" s="9">
        <v>39420.0</v>
      </c>
      <c r="X33" s="9">
        <v>26489.0</v>
      </c>
      <c r="Y33" s="9">
        <v>26047.0</v>
      </c>
      <c r="Z33" s="9">
        <v>3312.0</v>
      </c>
      <c r="AA33" s="9">
        <v>75122.0</v>
      </c>
      <c r="AB33" s="9">
        <v>1529.0</v>
      </c>
      <c r="AC33" s="9">
        <v>37891.0</v>
      </c>
      <c r="AD33" s="9">
        <v>5.0</v>
      </c>
      <c r="AE33" s="9">
        <v>26484.0</v>
      </c>
    </row>
    <row r="34" ht="15.75" customHeight="1">
      <c r="A34" s="4">
        <v>21.0</v>
      </c>
      <c r="B34" s="22">
        <v>0.091211</v>
      </c>
      <c r="C34" s="4">
        <v>38.0</v>
      </c>
      <c r="D34" s="4">
        <v>86785.0</v>
      </c>
      <c r="E34" s="4">
        <v>91670.0</v>
      </c>
      <c r="F34" s="4">
        <v>78488.0</v>
      </c>
      <c r="G34" s="4">
        <v>39232.0</v>
      </c>
      <c r="H34" s="4">
        <v>26308.0</v>
      </c>
      <c r="I34" s="4">
        <v>26446.0</v>
      </c>
      <c r="J34" s="4">
        <v>3266.0</v>
      </c>
      <c r="K34" s="4">
        <v>75222.0</v>
      </c>
      <c r="L34" s="4">
        <v>1533.0</v>
      </c>
      <c r="M34" s="4">
        <v>37699.0</v>
      </c>
      <c r="N34" s="4">
        <v>9.0</v>
      </c>
      <c r="O34" s="4">
        <v>26299.0</v>
      </c>
      <c r="Q34" s="4">
        <v>21.0</v>
      </c>
      <c r="R34" s="22">
        <v>0.116313</v>
      </c>
      <c r="S34" s="4">
        <v>22.0</v>
      </c>
      <c r="T34" s="4">
        <v>86785.0</v>
      </c>
      <c r="U34" s="4">
        <v>91670.0</v>
      </c>
      <c r="V34" s="4">
        <v>78488.0</v>
      </c>
      <c r="W34" s="4">
        <v>39232.0</v>
      </c>
      <c r="X34" s="4">
        <v>26308.0</v>
      </c>
      <c r="Y34" s="4">
        <v>26446.0</v>
      </c>
      <c r="Z34" s="4">
        <v>3266.0</v>
      </c>
      <c r="AA34" s="4">
        <v>75222.0</v>
      </c>
      <c r="AB34" s="4">
        <v>1533.0</v>
      </c>
      <c r="AC34" s="4">
        <v>37699.0</v>
      </c>
      <c r="AD34" s="4">
        <v>9.0</v>
      </c>
      <c r="AE34" s="4">
        <v>26299.0</v>
      </c>
    </row>
    <row r="35" ht="15.75" customHeight="1">
      <c r="A35" s="9">
        <v>22.0</v>
      </c>
      <c r="B35" s="23">
        <v>0.141553</v>
      </c>
      <c r="C35" s="9">
        <v>36.0</v>
      </c>
      <c r="D35" s="9">
        <v>86715.0</v>
      </c>
      <c r="E35" s="9">
        <v>91624.0</v>
      </c>
      <c r="F35" s="9">
        <v>78417.0</v>
      </c>
      <c r="G35" s="9">
        <v>39595.0</v>
      </c>
      <c r="H35" s="9">
        <v>26404.0</v>
      </c>
      <c r="I35" s="9">
        <v>26104.0</v>
      </c>
      <c r="J35" s="9">
        <v>3298.0</v>
      </c>
      <c r="K35" s="9">
        <v>75119.0</v>
      </c>
      <c r="L35" s="9">
        <v>1508.0</v>
      </c>
      <c r="M35" s="9">
        <v>38087.0</v>
      </c>
      <c r="N35" s="9">
        <v>7.0</v>
      </c>
      <c r="O35" s="9">
        <v>26397.0</v>
      </c>
      <c r="Q35" s="9">
        <v>22.0</v>
      </c>
      <c r="R35" s="23">
        <v>0.132946</v>
      </c>
      <c r="S35" s="9">
        <v>22.0</v>
      </c>
      <c r="T35" s="9">
        <v>86715.0</v>
      </c>
      <c r="U35" s="9">
        <v>91624.0</v>
      </c>
      <c r="V35" s="9">
        <v>78417.0</v>
      </c>
      <c r="W35" s="9">
        <v>39595.0</v>
      </c>
      <c r="X35" s="9">
        <v>26404.0</v>
      </c>
      <c r="Y35" s="9">
        <v>26104.0</v>
      </c>
      <c r="Z35" s="9">
        <v>3298.0</v>
      </c>
      <c r="AA35" s="9">
        <v>75119.0</v>
      </c>
      <c r="AB35" s="9">
        <v>1508.0</v>
      </c>
      <c r="AC35" s="9">
        <v>38087.0</v>
      </c>
      <c r="AD35" s="9">
        <v>7.0</v>
      </c>
      <c r="AE35" s="9">
        <v>26397.0</v>
      </c>
    </row>
    <row r="36" ht="15.75" customHeight="1">
      <c r="A36" s="4">
        <v>23.0</v>
      </c>
      <c r="B36" s="22">
        <v>0.112832</v>
      </c>
      <c r="C36" s="4">
        <v>39.0</v>
      </c>
      <c r="D36" s="4">
        <v>86752.0</v>
      </c>
      <c r="E36" s="4">
        <v>91608.0</v>
      </c>
      <c r="F36" s="4">
        <v>79114.0</v>
      </c>
      <c r="G36" s="4">
        <v>39250.0</v>
      </c>
      <c r="H36" s="4">
        <v>26029.0</v>
      </c>
      <c r="I36" s="4">
        <v>26143.0</v>
      </c>
      <c r="J36" s="4">
        <v>3338.0</v>
      </c>
      <c r="K36" s="4">
        <v>75776.0</v>
      </c>
      <c r="L36" s="4">
        <v>1510.0</v>
      </c>
      <c r="M36" s="4">
        <v>37740.0</v>
      </c>
      <c r="N36" s="4">
        <v>6.0</v>
      </c>
      <c r="O36" s="4">
        <v>26023.0</v>
      </c>
      <c r="Q36" s="4">
        <v>23.0</v>
      </c>
      <c r="R36" s="22">
        <v>0.105944</v>
      </c>
      <c r="S36" s="4">
        <v>23.0</v>
      </c>
      <c r="T36" s="4">
        <v>86752.0</v>
      </c>
      <c r="U36" s="4">
        <v>91608.0</v>
      </c>
      <c r="V36" s="4">
        <v>79114.0</v>
      </c>
      <c r="W36" s="4">
        <v>39250.0</v>
      </c>
      <c r="X36" s="4">
        <v>26029.0</v>
      </c>
      <c r="Y36" s="4">
        <v>26143.0</v>
      </c>
      <c r="Z36" s="4">
        <v>3338.0</v>
      </c>
      <c r="AA36" s="4">
        <v>75776.0</v>
      </c>
      <c r="AB36" s="4">
        <v>1510.0</v>
      </c>
      <c r="AC36" s="4">
        <v>37740.0</v>
      </c>
      <c r="AD36" s="4">
        <v>6.0</v>
      </c>
      <c r="AE36" s="4">
        <v>26023.0</v>
      </c>
    </row>
    <row r="37" ht="15.75" customHeight="1">
      <c r="A37" s="9">
        <v>24.0</v>
      </c>
      <c r="B37" s="23">
        <v>0.10997</v>
      </c>
      <c r="C37" s="9">
        <v>43.0</v>
      </c>
      <c r="D37" s="9">
        <v>86751.0</v>
      </c>
      <c r="E37" s="9">
        <v>91744.0</v>
      </c>
      <c r="F37" s="9">
        <v>78537.0</v>
      </c>
      <c r="G37" s="9">
        <v>39443.0</v>
      </c>
      <c r="H37" s="9">
        <v>26096.0</v>
      </c>
      <c r="I37" s="9">
        <v>26324.0</v>
      </c>
      <c r="J37" s="9">
        <v>3309.0</v>
      </c>
      <c r="K37" s="9">
        <v>75228.0</v>
      </c>
      <c r="L37" s="9">
        <v>1500.0</v>
      </c>
      <c r="M37" s="9">
        <v>37943.0</v>
      </c>
      <c r="N37" s="9">
        <v>7.0</v>
      </c>
      <c r="O37" s="9">
        <v>26089.0</v>
      </c>
      <c r="Q37" s="9">
        <v>24.0</v>
      </c>
      <c r="R37" s="23">
        <v>0.09936</v>
      </c>
      <c r="S37" s="9">
        <v>22.0</v>
      </c>
      <c r="T37" s="9">
        <v>86751.0</v>
      </c>
      <c r="U37" s="9">
        <v>91744.0</v>
      </c>
      <c r="V37" s="9">
        <v>78537.0</v>
      </c>
      <c r="W37" s="9">
        <v>39443.0</v>
      </c>
      <c r="X37" s="9">
        <v>26096.0</v>
      </c>
      <c r="Y37" s="9">
        <v>26324.0</v>
      </c>
      <c r="Z37" s="9">
        <v>3309.0</v>
      </c>
      <c r="AA37" s="9">
        <v>75228.0</v>
      </c>
      <c r="AB37" s="9">
        <v>1500.0</v>
      </c>
      <c r="AC37" s="9">
        <v>37943.0</v>
      </c>
      <c r="AD37" s="9">
        <v>7.0</v>
      </c>
      <c r="AE37" s="9">
        <v>26089.0</v>
      </c>
    </row>
    <row r="38" ht="15.75" customHeight="1">
      <c r="A38" s="4">
        <v>25.0</v>
      </c>
      <c r="B38" s="22">
        <v>0.100801</v>
      </c>
      <c r="C38" s="4">
        <v>35.0</v>
      </c>
      <c r="D38" s="4">
        <v>87045.0</v>
      </c>
      <c r="E38" s="4">
        <v>92066.0</v>
      </c>
      <c r="F38" s="4">
        <v>78661.0</v>
      </c>
      <c r="G38" s="4">
        <v>39035.0</v>
      </c>
      <c r="H38" s="4">
        <v>26289.0</v>
      </c>
      <c r="I38" s="4">
        <v>26093.0</v>
      </c>
      <c r="J38" s="4">
        <v>3280.0</v>
      </c>
      <c r="K38" s="4">
        <v>75381.0</v>
      </c>
      <c r="L38" s="4">
        <v>1453.0</v>
      </c>
      <c r="M38" s="4">
        <v>37582.0</v>
      </c>
      <c r="N38" s="4">
        <v>6.0</v>
      </c>
      <c r="O38" s="4">
        <v>26283.0</v>
      </c>
      <c r="Q38" s="4">
        <v>25.0</v>
      </c>
      <c r="R38" s="22">
        <v>0.095576</v>
      </c>
      <c r="S38" s="4">
        <v>22.0</v>
      </c>
      <c r="T38" s="4">
        <v>87045.0</v>
      </c>
      <c r="U38" s="4">
        <v>92066.0</v>
      </c>
      <c r="V38" s="4">
        <v>78661.0</v>
      </c>
      <c r="W38" s="4">
        <v>39035.0</v>
      </c>
      <c r="X38" s="4">
        <v>26289.0</v>
      </c>
      <c r="Y38" s="4">
        <v>26093.0</v>
      </c>
      <c r="Z38" s="4">
        <v>3280.0</v>
      </c>
      <c r="AA38" s="4">
        <v>75381.0</v>
      </c>
      <c r="AB38" s="4">
        <v>1453.0</v>
      </c>
      <c r="AC38" s="4">
        <v>37582.0</v>
      </c>
      <c r="AD38" s="4">
        <v>6.0</v>
      </c>
      <c r="AE38" s="4">
        <v>26283.0</v>
      </c>
    </row>
    <row r="39" ht="15.75" customHeight="1">
      <c r="A39" s="9">
        <v>26.0</v>
      </c>
      <c r="B39" s="23">
        <v>0.106457</v>
      </c>
      <c r="C39" s="9">
        <v>36.0</v>
      </c>
      <c r="D39" s="9">
        <v>86663.0</v>
      </c>
      <c r="E39" s="9">
        <v>91610.0</v>
      </c>
      <c r="F39" s="9">
        <v>78288.0</v>
      </c>
      <c r="G39" s="9">
        <v>39609.0</v>
      </c>
      <c r="H39" s="9">
        <v>26269.0</v>
      </c>
      <c r="I39" s="9">
        <v>26368.0</v>
      </c>
      <c r="J39" s="9">
        <v>3226.0</v>
      </c>
      <c r="K39" s="9">
        <v>75062.0</v>
      </c>
      <c r="L39" s="9">
        <v>1540.0</v>
      </c>
      <c r="M39" s="9">
        <v>38069.0</v>
      </c>
      <c r="N39" s="9">
        <v>9.0</v>
      </c>
      <c r="O39" s="9">
        <v>26260.0</v>
      </c>
      <c r="Q39" s="9">
        <v>26.0</v>
      </c>
      <c r="R39" s="23">
        <v>0.093247</v>
      </c>
      <c r="S39" s="9">
        <v>24.0</v>
      </c>
      <c r="T39" s="9">
        <v>86663.0</v>
      </c>
      <c r="U39" s="9">
        <v>91610.0</v>
      </c>
      <c r="V39" s="9">
        <v>78288.0</v>
      </c>
      <c r="W39" s="9">
        <v>39609.0</v>
      </c>
      <c r="X39" s="9">
        <v>26269.0</v>
      </c>
      <c r="Y39" s="9">
        <v>26368.0</v>
      </c>
      <c r="Z39" s="9">
        <v>3226.0</v>
      </c>
      <c r="AA39" s="9">
        <v>75062.0</v>
      </c>
      <c r="AB39" s="9">
        <v>1540.0</v>
      </c>
      <c r="AC39" s="9">
        <v>38069.0</v>
      </c>
      <c r="AD39" s="9">
        <v>9.0</v>
      </c>
      <c r="AE39" s="9">
        <v>26260.0</v>
      </c>
    </row>
    <row r="40" ht="15.75" customHeight="1">
      <c r="A40" s="4">
        <v>27.0</v>
      </c>
      <c r="B40" s="22">
        <v>0.105332</v>
      </c>
      <c r="C40" s="4">
        <v>38.0</v>
      </c>
      <c r="D40" s="4">
        <v>87019.0</v>
      </c>
      <c r="E40" s="4">
        <v>91933.0</v>
      </c>
      <c r="F40" s="4">
        <v>79063.0</v>
      </c>
      <c r="G40" s="4">
        <v>39147.0</v>
      </c>
      <c r="H40" s="4">
        <v>26000.0</v>
      </c>
      <c r="I40" s="4">
        <v>26001.0</v>
      </c>
      <c r="J40" s="4">
        <v>3403.0</v>
      </c>
      <c r="K40" s="4">
        <v>75660.0</v>
      </c>
      <c r="L40" s="4">
        <v>1477.0</v>
      </c>
      <c r="M40" s="4">
        <v>37670.0</v>
      </c>
      <c r="N40" s="4">
        <v>11.0</v>
      </c>
      <c r="O40" s="4">
        <v>25989.0</v>
      </c>
      <c r="Q40" s="4">
        <v>27.0</v>
      </c>
      <c r="R40" s="22">
        <v>0.12491</v>
      </c>
      <c r="S40" s="4">
        <v>22.0</v>
      </c>
      <c r="T40" s="4">
        <v>87019.0</v>
      </c>
      <c r="U40" s="4">
        <v>91933.0</v>
      </c>
      <c r="V40" s="4">
        <v>79063.0</v>
      </c>
      <c r="W40" s="4">
        <v>39147.0</v>
      </c>
      <c r="X40" s="4">
        <v>26000.0</v>
      </c>
      <c r="Y40" s="4">
        <v>26001.0</v>
      </c>
      <c r="Z40" s="4">
        <v>3403.0</v>
      </c>
      <c r="AA40" s="4">
        <v>75660.0</v>
      </c>
      <c r="AB40" s="4">
        <v>1477.0</v>
      </c>
      <c r="AC40" s="4">
        <v>37670.0</v>
      </c>
      <c r="AD40" s="4">
        <v>11.0</v>
      </c>
      <c r="AE40" s="4">
        <v>25989.0</v>
      </c>
    </row>
    <row r="41" ht="15.75" customHeight="1">
      <c r="A41" s="9">
        <v>28.0</v>
      </c>
      <c r="B41" s="23">
        <v>0.107965</v>
      </c>
      <c r="C41" s="9">
        <v>40.0</v>
      </c>
      <c r="D41" s="9">
        <v>86780.0</v>
      </c>
      <c r="E41" s="9">
        <v>91787.0</v>
      </c>
      <c r="F41" s="9">
        <v>78925.0</v>
      </c>
      <c r="G41" s="9">
        <v>39096.0</v>
      </c>
      <c r="H41" s="9">
        <v>26129.0</v>
      </c>
      <c r="I41" s="9">
        <v>26207.0</v>
      </c>
      <c r="J41" s="9">
        <v>3344.0</v>
      </c>
      <c r="K41" s="9">
        <v>75581.0</v>
      </c>
      <c r="L41" s="9">
        <v>1501.0</v>
      </c>
      <c r="M41" s="9">
        <v>37595.0</v>
      </c>
      <c r="N41" s="9">
        <v>7.0</v>
      </c>
      <c r="O41" s="9">
        <v>26122.0</v>
      </c>
      <c r="Q41" s="9">
        <v>28.0</v>
      </c>
      <c r="R41" s="23">
        <v>0.090621</v>
      </c>
      <c r="S41" s="9">
        <v>22.0</v>
      </c>
      <c r="T41" s="9">
        <v>86780.0</v>
      </c>
      <c r="U41" s="9">
        <v>91787.0</v>
      </c>
      <c r="V41" s="9">
        <v>78925.0</v>
      </c>
      <c r="W41" s="9">
        <v>39096.0</v>
      </c>
      <c r="X41" s="9">
        <v>26129.0</v>
      </c>
      <c r="Y41" s="9">
        <v>26207.0</v>
      </c>
      <c r="Z41" s="9">
        <v>3344.0</v>
      </c>
      <c r="AA41" s="9">
        <v>75581.0</v>
      </c>
      <c r="AB41" s="9">
        <v>1501.0</v>
      </c>
      <c r="AC41" s="9">
        <v>37595.0</v>
      </c>
      <c r="AD41" s="9">
        <v>7.0</v>
      </c>
      <c r="AE41" s="9">
        <v>26122.0</v>
      </c>
    </row>
    <row r="42" ht="15.75" customHeight="1">
      <c r="A42" s="4">
        <v>29.0</v>
      </c>
      <c r="B42" s="22">
        <v>0.119542</v>
      </c>
      <c r="C42" s="4">
        <v>38.0</v>
      </c>
      <c r="D42" s="4">
        <v>87171.0</v>
      </c>
      <c r="E42" s="4">
        <v>92125.0</v>
      </c>
      <c r="F42" s="4">
        <v>78209.0</v>
      </c>
      <c r="G42" s="4">
        <v>39454.0</v>
      </c>
      <c r="H42" s="4">
        <v>26359.0</v>
      </c>
      <c r="I42" s="4">
        <v>25997.0</v>
      </c>
      <c r="J42" s="4">
        <v>3327.0</v>
      </c>
      <c r="K42" s="4">
        <v>74882.0</v>
      </c>
      <c r="L42" s="4">
        <v>1527.0</v>
      </c>
      <c r="M42" s="4">
        <v>37927.0</v>
      </c>
      <c r="N42" s="4">
        <v>7.0</v>
      </c>
      <c r="O42" s="4">
        <v>26352.0</v>
      </c>
      <c r="Q42" s="4">
        <v>29.0</v>
      </c>
      <c r="R42" s="22">
        <v>0.091676</v>
      </c>
      <c r="S42" s="4">
        <v>23.0</v>
      </c>
      <c r="T42" s="4">
        <v>87171.0</v>
      </c>
      <c r="U42" s="4">
        <v>92125.0</v>
      </c>
      <c r="V42" s="4">
        <v>78209.0</v>
      </c>
      <c r="W42" s="4">
        <v>39454.0</v>
      </c>
      <c r="X42" s="4">
        <v>26359.0</v>
      </c>
      <c r="Y42" s="4">
        <v>25997.0</v>
      </c>
      <c r="Z42" s="4">
        <v>3327.0</v>
      </c>
      <c r="AA42" s="4">
        <v>74882.0</v>
      </c>
      <c r="AB42" s="4">
        <v>1527.0</v>
      </c>
      <c r="AC42" s="4">
        <v>37927.0</v>
      </c>
      <c r="AD42" s="4">
        <v>7.0</v>
      </c>
      <c r="AE42" s="4">
        <v>26352.0</v>
      </c>
    </row>
    <row r="43" ht="15.75" customHeight="1">
      <c r="A43" s="9">
        <v>30.0</v>
      </c>
      <c r="B43" s="23">
        <v>0.112201</v>
      </c>
      <c r="C43" s="9">
        <v>41.0</v>
      </c>
      <c r="D43" s="9">
        <v>86735.0</v>
      </c>
      <c r="E43" s="9">
        <v>91708.0</v>
      </c>
      <c r="F43" s="9">
        <v>78537.0</v>
      </c>
      <c r="G43" s="9">
        <v>39656.0</v>
      </c>
      <c r="H43" s="9">
        <v>26090.0</v>
      </c>
      <c r="I43" s="9">
        <v>26153.0</v>
      </c>
      <c r="J43" s="9">
        <v>3226.0</v>
      </c>
      <c r="K43" s="9">
        <v>75311.0</v>
      </c>
      <c r="L43" s="9">
        <v>1504.0</v>
      </c>
      <c r="M43" s="9">
        <v>38152.0</v>
      </c>
      <c r="N43" s="9">
        <v>6.0</v>
      </c>
      <c r="O43" s="9">
        <v>26084.0</v>
      </c>
      <c r="Q43" s="9">
        <v>30.0</v>
      </c>
      <c r="R43" s="23">
        <v>0.0983</v>
      </c>
      <c r="S43" s="9">
        <v>21.0</v>
      </c>
      <c r="T43" s="9">
        <v>86735.0</v>
      </c>
      <c r="U43" s="9">
        <v>91708.0</v>
      </c>
      <c r="V43" s="9">
        <v>78537.0</v>
      </c>
      <c r="W43" s="9">
        <v>39656.0</v>
      </c>
      <c r="X43" s="9">
        <v>26090.0</v>
      </c>
      <c r="Y43" s="9">
        <v>26153.0</v>
      </c>
      <c r="Z43" s="9">
        <v>3226.0</v>
      </c>
      <c r="AA43" s="9">
        <v>75311.0</v>
      </c>
      <c r="AB43" s="9">
        <v>1504.0</v>
      </c>
      <c r="AC43" s="9">
        <v>38152.0</v>
      </c>
      <c r="AD43" s="9">
        <v>6.0</v>
      </c>
      <c r="AE43" s="9">
        <v>26084.0</v>
      </c>
    </row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1.71"/>
    <col customWidth="1" min="2" max="2" width="14.71"/>
    <col customWidth="1" min="3" max="15" width="11.71"/>
    <col customWidth="1" min="16" max="16" width="3.71"/>
    <col customWidth="1" min="17" max="17" width="11.71"/>
    <col customWidth="1" min="18" max="18" width="14.71"/>
    <col customWidth="1" min="19" max="31" width="11.71"/>
    <col customWidth="1" min="32" max="48" width="8.71"/>
  </cols>
  <sheetData>
    <row r="1">
      <c r="A1" s="1" t="s">
        <v>71</v>
      </c>
    </row>
    <row r="3">
      <c r="B3" s="2" t="s">
        <v>39</v>
      </c>
    </row>
    <row r="4">
      <c r="B4" s="3" t="s">
        <v>40</v>
      </c>
      <c r="C4" s="3" t="s">
        <v>6</v>
      </c>
      <c r="D4" s="3" t="s">
        <v>7</v>
      </c>
    </row>
    <row r="5">
      <c r="B5" s="18" t="s">
        <v>41</v>
      </c>
      <c r="C5" s="5">
        <f>MIN(B14:B43)</f>
        <v>0.201333</v>
      </c>
      <c r="D5" s="5">
        <f>MIN(R14:R43)</f>
        <v>0.198181</v>
      </c>
    </row>
    <row r="6">
      <c r="B6" s="18" t="s">
        <v>42</v>
      </c>
      <c r="C6" s="5">
        <f>MAX(B14:B43)</f>
        <v>0.339905</v>
      </c>
      <c r="D6" s="5">
        <f>MAX(R14:R43)</f>
        <v>0.312644</v>
      </c>
    </row>
    <row r="7">
      <c r="B7" s="18" t="s">
        <v>43</v>
      </c>
      <c r="C7" s="5">
        <f>AVERAGE(B14:B43)</f>
        <v>0.2712684</v>
      </c>
      <c r="D7" s="5">
        <f>AVERAGE(R14:R43)</f>
        <v>0.2397468333</v>
      </c>
    </row>
    <row r="8">
      <c r="B8" s="18" t="s">
        <v>44</v>
      </c>
      <c r="C8" s="5">
        <f>_xlfn.STDEV.S(B14:B43)</f>
        <v>0.03434711171</v>
      </c>
      <c r="D8" s="5">
        <f>_xlfn.STDEV.S(R14:R43)</f>
        <v>0.03109344559</v>
      </c>
    </row>
    <row r="9">
      <c r="B9" s="18" t="s">
        <v>45</v>
      </c>
      <c r="C9" s="6">
        <f t="shared" ref="C9:D9" si="1">C7/C6</f>
        <v>0.7980712258</v>
      </c>
      <c r="D9" s="6">
        <f t="shared" si="1"/>
        <v>0.7668365084</v>
      </c>
    </row>
    <row r="10">
      <c r="B10" s="18" t="s">
        <v>46</v>
      </c>
      <c r="C10" s="6">
        <f>AVERAGE(C14:C43)</f>
        <v>41.13333333</v>
      </c>
      <c r="D10" s="6">
        <f>AVERAGE(S14:S43)</f>
        <v>23.46666667</v>
      </c>
    </row>
    <row r="11">
      <c r="B11" s="18" t="s">
        <v>47</v>
      </c>
      <c r="C11" s="19">
        <f>MAX(C14:C43)</f>
        <v>47</v>
      </c>
      <c r="D11" s="19">
        <f>MAX(S14:S43)</f>
        <v>24</v>
      </c>
    </row>
    <row r="12">
      <c r="A12" s="2" t="s">
        <v>48</v>
      </c>
      <c r="Q12" s="2" t="s">
        <v>49</v>
      </c>
    </row>
    <row r="13">
      <c r="A13" s="20" t="s">
        <v>50</v>
      </c>
      <c r="B13" s="20" t="s">
        <v>51</v>
      </c>
      <c r="C13" s="20" t="s">
        <v>52</v>
      </c>
      <c r="D13" s="20" t="s">
        <v>53</v>
      </c>
      <c r="E13" s="20" t="s">
        <v>54</v>
      </c>
      <c r="F13" s="20" t="s">
        <v>55</v>
      </c>
      <c r="G13" s="20" t="s">
        <v>56</v>
      </c>
      <c r="H13" s="20" t="s">
        <v>57</v>
      </c>
      <c r="I13" s="20" t="s">
        <v>58</v>
      </c>
      <c r="J13" s="20" t="s">
        <v>59</v>
      </c>
      <c r="K13" s="20" t="s">
        <v>60</v>
      </c>
      <c r="L13" s="20" t="s">
        <v>61</v>
      </c>
      <c r="M13" s="20" t="s">
        <v>62</v>
      </c>
      <c r="N13" s="20" t="s">
        <v>63</v>
      </c>
      <c r="O13" s="20" t="s">
        <v>64</v>
      </c>
      <c r="Q13" s="21" t="s">
        <v>50</v>
      </c>
      <c r="R13" s="21" t="s">
        <v>51</v>
      </c>
      <c r="S13" s="21" t="s">
        <v>52</v>
      </c>
      <c r="T13" s="21" t="s">
        <v>53</v>
      </c>
      <c r="U13" s="21" t="s">
        <v>54</v>
      </c>
      <c r="V13" s="21" t="s">
        <v>55</v>
      </c>
      <c r="W13" s="21" t="s">
        <v>56</v>
      </c>
      <c r="X13" s="21" t="s">
        <v>57</v>
      </c>
      <c r="Y13" s="21" t="s">
        <v>58</v>
      </c>
      <c r="Z13" s="21" t="s">
        <v>59</v>
      </c>
      <c r="AA13" s="21" t="s">
        <v>60</v>
      </c>
      <c r="AB13" s="21" t="s">
        <v>61</v>
      </c>
      <c r="AC13" s="21" t="s">
        <v>62</v>
      </c>
      <c r="AD13" s="21" t="s">
        <v>63</v>
      </c>
      <c r="AE13" s="21" t="s">
        <v>64</v>
      </c>
    </row>
    <row r="14">
      <c r="A14" s="4">
        <v>1.0</v>
      </c>
      <c r="B14" s="22">
        <v>0.29862</v>
      </c>
      <c r="C14" s="4">
        <v>39.0</v>
      </c>
      <c r="D14" s="4">
        <v>173715.0</v>
      </c>
      <c r="E14" s="4">
        <v>183569.0</v>
      </c>
      <c r="F14" s="4">
        <v>157154.0</v>
      </c>
      <c r="G14" s="4">
        <v>78614.0</v>
      </c>
      <c r="H14" s="4">
        <v>52619.0</v>
      </c>
      <c r="I14" s="4">
        <v>52332.0</v>
      </c>
      <c r="J14" s="4">
        <v>6550.0</v>
      </c>
      <c r="K14" s="4">
        <v>150604.0</v>
      </c>
      <c r="L14" s="4">
        <v>3007.0</v>
      </c>
      <c r="M14" s="4">
        <v>75607.0</v>
      </c>
      <c r="N14" s="4">
        <v>16.0</v>
      </c>
      <c r="O14" s="4">
        <v>52603.0</v>
      </c>
      <c r="Q14" s="4">
        <v>1.0</v>
      </c>
      <c r="R14" s="22">
        <v>0.311176</v>
      </c>
      <c r="S14" s="4">
        <v>24.0</v>
      </c>
      <c r="T14" s="4">
        <v>173715.0</v>
      </c>
      <c r="U14" s="4">
        <v>183569.0</v>
      </c>
      <c r="V14" s="4">
        <v>157154.0</v>
      </c>
      <c r="W14" s="4">
        <v>78614.0</v>
      </c>
      <c r="X14" s="4">
        <v>52619.0</v>
      </c>
      <c r="Y14" s="4">
        <v>52332.0</v>
      </c>
      <c r="Z14" s="4">
        <v>6550.0</v>
      </c>
      <c r="AA14" s="4">
        <v>150604.0</v>
      </c>
      <c r="AB14" s="4">
        <v>3007.0</v>
      </c>
      <c r="AC14" s="4">
        <v>75607.0</v>
      </c>
      <c r="AD14" s="4">
        <v>16.0</v>
      </c>
      <c r="AE14" s="4">
        <v>52603.0</v>
      </c>
    </row>
    <row r="15">
      <c r="A15" s="9">
        <v>2.0</v>
      </c>
      <c r="B15" s="23">
        <v>0.326</v>
      </c>
      <c r="C15" s="9">
        <v>43.0</v>
      </c>
      <c r="D15" s="9">
        <v>174197.0</v>
      </c>
      <c r="E15" s="9">
        <v>184246.0</v>
      </c>
      <c r="F15" s="9">
        <v>156926.0</v>
      </c>
      <c r="G15" s="9">
        <v>78384.0</v>
      </c>
      <c r="H15" s="9">
        <v>51990.0</v>
      </c>
      <c r="I15" s="9">
        <v>52742.0</v>
      </c>
      <c r="J15" s="9">
        <v>6595.0</v>
      </c>
      <c r="K15" s="9">
        <v>150331.0</v>
      </c>
      <c r="L15" s="9">
        <v>2981.0</v>
      </c>
      <c r="M15" s="9">
        <v>75403.0</v>
      </c>
      <c r="N15" s="9">
        <v>16.0</v>
      </c>
      <c r="O15" s="9">
        <v>51974.0</v>
      </c>
      <c r="Q15" s="9">
        <v>2.0</v>
      </c>
      <c r="R15" s="23">
        <v>0.218227</v>
      </c>
      <c r="S15" s="9">
        <v>23.0</v>
      </c>
      <c r="T15" s="9">
        <v>174197.0</v>
      </c>
      <c r="U15" s="9">
        <v>184246.0</v>
      </c>
      <c r="V15" s="9">
        <v>156926.0</v>
      </c>
      <c r="W15" s="9">
        <v>78384.0</v>
      </c>
      <c r="X15" s="9">
        <v>51990.0</v>
      </c>
      <c r="Y15" s="9">
        <v>52742.0</v>
      </c>
      <c r="Z15" s="9">
        <v>6595.0</v>
      </c>
      <c r="AA15" s="9">
        <v>150331.0</v>
      </c>
      <c r="AB15" s="9">
        <v>2981.0</v>
      </c>
      <c r="AC15" s="9">
        <v>75403.0</v>
      </c>
      <c r="AD15" s="9">
        <v>16.0</v>
      </c>
      <c r="AE15" s="9">
        <v>51974.0</v>
      </c>
    </row>
    <row r="16">
      <c r="A16" s="4">
        <v>3.0</v>
      </c>
      <c r="B16" s="22">
        <v>0.247463</v>
      </c>
      <c r="C16" s="4">
        <v>40.0</v>
      </c>
      <c r="D16" s="4">
        <v>173806.0</v>
      </c>
      <c r="E16" s="4">
        <v>183649.0</v>
      </c>
      <c r="F16" s="4">
        <v>157034.0</v>
      </c>
      <c r="G16" s="4">
        <v>78917.0</v>
      </c>
      <c r="H16" s="4">
        <v>52464.0</v>
      </c>
      <c r="I16" s="4">
        <v>52224.0</v>
      </c>
      <c r="J16" s="4">
        <v>6684.0</v>
      </c>
      <c r="K16" s="4">
        <v>150350.0</v>
      </c>
      <c r="L16" s="4">
        <v>2877.0</v>
      </c>
      <c r="M16" s="4">
        <v>76040.0</v>
      </c>
      <c r="N16" s="4">
        <v>16.0</v>
      </c>
      <c r="O16" s="4">
        <v>52448.0</v>
      </c>
      <c r="Q16" s="4">
        <v>3.0</v>
      </c>
      <c r="R16" s="22">
        <v>0.230551</v>
      </c>
      <c r="S16" s="4">
        <v>23.0</v>
      </c>
      <c r="T16" s="4">
        <v>173806.0</v>
      </c>
      <c r="U16" s="4">
        <v>183649.0</v>
      </c>
      <c r="V16" s="4">
        <v>157034.0</v>
      </c>
      <c r="W16" s="4">
        <v>78917.0</v>
      </c>
      <c r="X16" s="4">
        <v>52464.0</v>
      </c>
      <c r="Y16" s="4">
        <v>52224.0</v>
      </c>
      <c r="Z16" s="4">
        <v>6684.0</v>
      </c>
      <c r="AA16" s="4">
        <v>150350.0</v>
      </c>
      <c r="AB16" s="4">
        <v>2877.0</v>
      </c>
      <c r="AC16" s="4">
        <v>76040.0</v>
      </c>
      <c r="AD16" s="4">
        <v>16.0</v>
      </c>
      <c r="AE16" s="4">
        <v>52448.0</v>
      </c>
    </row>
    <row r="17">
      <c r="A17" s="9">
        <v>4.0</v>
      </c>
      <c r="B17" s="23">
        <v>0.292635</v>
      </c>
      <c r="C17" s="9">
        <v>43.0</v>
      </c>
      <c r="D17" s="9">
        <v>173354.0</v>
      </c>
      <c r="E17" s="9">
        <v>183248.0</v>
      </c>
      <c r="F17" s="9">
        <v>157239.0</v>
      </c>
      <c r="G17" s="9">
        <v>78674.0</v>
      </c>
      <c r="H17" s="9">
        <v>52707.0</v>
      </c>
      <c r="I17" s="9">
        <v>52420.0</v>
      </c>
      <c r="J17" s="9">
        <v>6498.0</v>
      </c>
      <c r="K17" s="9">
        <v>150741.0</v>
      </c>
      <c r="L17" s="9">
        <v>2890.0</v>
      </c>
      <c r="M17" s="9">
        <v>75784.0</v>
      </c>
      <c r="N17" s="9">
        <v>13.0</v>
      </c>
      <c r="O17" s="9">
        <v>52694.0</v>
      </c>
      <c r="Q17" s="9">
        <v>4.0</v>
      </c>
      <c r="R17" s="23">
        <v>0.24961</v>
      </c>
      <c r="S17" s="9">
        <v>23.0</v>
      </c>
      <c r="T17" s="9">
        <v>173354.0</v>
      </c>
      <c r="U17" s="9">
        <v>183248.0</v>
      </c>
      <c r="V17" s="9">
        <v>157239.0</v>
      </c>
      <c r="W17" s="9">
        <v>78674.0</v>
      </c>
      <c r="X17" s="9">
        <v>52707.0</v>
      </c>
      <c r="Y17" s="9">
        <v>52420.0</v>
      </c>
      <c r="Z17" s="9">
        <v>6498.0</v>
      </c>
      <c r="AA17" s="9">
        <v>150741.0</v>
      </c>
      <c r="AB17" s="9">
        <v>2890.0</v>
      </c>
      <c r="AC17" s="9">
        <v>75784.0</v>
      </c>
      <c r="AD17" s="9">
        <v>13.0</v>
      </c>
      <c r="AE17" s="9">
        <v>52694.0</v>
      </c>
    </row>
    <row r="18">
      <c r="A18" s="4">
        <v>5.0</v>
      </c>
      <c r="B18" s="22">
        <v>0.333993</v>
      </c>
      <c r="C18" s="4">
        <v>42.0</v>
      </c>
      <c r="D18" s="4">
        <v>173126.0</v>
      </c>
      <c r="E18" s="4">
        <v>183052.0</v>
      </c>
      <c r="F18" s="4">
        <v>157684.0</v>
      </c>
      <c r="G18" s="4">
        <v>78508.0</v>
      </c>
      <c r="H18" s="4">
        <v>52376.0</v>
      </c>
      <c r="I18" s="4">
        <v>52668.0</v>
      </c>
      <c r="J18" s="4">
        <v>6499.0</v>
      </c>
      <c r="K18" s="4">
        <v>151185.0</v>
      </c>
      <c r="L18" s="4">
        <v>2987.0</v>
      </c>
      <c r="M18" s="4">
        <v>75521.0</v>
      </c>
      <c r="N18" s="4">
        <v>15.0</v>
      </c>
      <c r="O18" s="4">
        <v>52361.0</v>
      </c>
      <c r="Q18" s="4">
        <v>5.0</v>
      </c>
      <c r="R18" s="22">
        <v>0.287494</v>
      </c>
      <c r="S18" s="4">
        <v>24.0</v>
      </c>
      <c r="T18" s="4">
        <v>173126.0</v>
      </c>
      <c r="U18" s="4">
        <v>183052.0</v>
      </c>
      <c r="V18" s="4">
        <v>157684.0</v>
      </c>
      <c r="W18" s="4">
        <v>78508.0</v>
      </c>
      <c r="X18" s="4">
        <v>52376.0</v>
      </c>
      <c r="Y18" s="4">
        <v>52668.0</v>
      </c>
      <c r="Z18" s="4">
        <v>6499.0</v>
      </c>
      <c r="AA18" s="4">
        <v>151185.0</v>
      </c>
      <c r="AB18" s="4">
        <v>2987.0</v>
      </c>
      <c r="AC18" s="4">
        <v>75521.0</v>
      </c>
      <c r="AD18" s="4">
        <v>15.0</v>
      </c>
      <c r="AE18" s="4">
        <v>52361.0</v>
      </c>
    </row>
    <row r="19">
      <c r="A19" s="9">
        <v>6.0</v>
      </c>
      <c r="B19" s="23">
        <v>0.287169</v>
      </c>
      <c r="C19" s="9">
        <v>41.0</v>
      </c>
      <c r="D19" s="9">
        <v>173682.0</v>
      </c>
      <c r="E19" s="9">
        <v>183607.0</v>
      </c>
      <c r="F19" s="9">
        <v>157193.0</v>
      </c>
      <c r="G19" s="9">
        <v>78490.0</v>
      </c>
      <c r="H19" s="9">
        <v>52277.0</v>
      </c>
      <c r="I19" s="9">
        <v>52721.0</v>
      </c>
      <c r="J19" s="9">
        <v>6716.0</v>
      </c>
      <c r="K19" s="9">
        <v>150477.0</v>
      </c>
      <c r="L19" s="9">
        <v>3028.0</v>
      </c>
      <c r="M19" s="9">
        <v>75462.0</v>
      </c>
      <c r="N19" s="9">
        <v>15.0</v>
      </c>
      <c r="O19" s="9">
        <v>52262.0</v>
      </c>
      <c r="Q19" s="9">
        <v>6.0</v>
      </c>
      <c r="R19" s="23">
        <v>0.312644</v>
      </c>
      <c r="S19" s="9">
        <v>23.0</v>
      </c>
      <c r="T19" s="9">
        <v>173682.0</v>
      </c>
      <c r="U19" s="9">
        <v>183607.0</v>
      </c>
      <c r="V19" s="9">
        <v>157193.0</v>
      </c>
      <c r="W19" s="9">
        <v>78490.0</v>
      </c>
      <c r="X19" s="9">
        <v>52277.0</v>
      </c>
      <c r="Y19" s="9">
        <v>52721.0</v>
      </c>
      <c r="Z19" s="9">
        <v>6716.0</v>
      </c>
      <c r="AA19" s="9">
        <v>150477.0</v>
      </c>
      <c r="AB19" s="9">
        <v>3028.0</v>
      </c>
      <c r="AC19" s="9">
        <v>75462.0</v>
      </c>
      <c r="AD19" s="9">
        <v>15.0</v>
      </c>
      <c r="AE19" s="9">
        <v>52262.0</v>
      </c>
    </row>
    <row r="20">
      <c r="A20" s="4">
        <v>7.0</v>
      </c>
      <c r="B20" s="22">
        <v>0.25423</v>
      </c>
      <c r="C20" s="4">
        <v>42.0</v>
      </c>
      <c r="D20" s="4">
        <v>173605.0</v>
      </c>
      <c r="E20" s="4">
        <v>183451.0</v>
      </c>
      <c r="F20" s="4">
        <v>157283.0</v>
      </c>
      <c r="G20" s="4">
        <v>78725.0</v>
      </c>
      <c r="H20" s="4">
        <v>52597.0</v>
      </c>
      <c r="I20" s="4">
        <v>52232.0</v>
      </c>
      <c r="J20" s="4">
        <v>6714.0</v>
      </c>
      <c r="K20" s="4">
        <v>150569.0</v>
      </c>
      <c r="L20" s="4">
        <v>3009.0</v>
      </c>
      <c r="M20" s="4">
        <v>75716.0</v>
      </c>
      <c r="N20" s="4">
        <v>14.0</v>
      </c>
      <c r="O20" s="4">
        <v>52583.0</v>
      </c>
      <c r="Q20" s="4">
        <v>7.0</v>
      </c>
      <c r="R20" s="22">
        <v>0.22528</v>
      </c>
      <c r="S20" s="4">
        <v>24.0</v>
      </c>
      <c r="T20" s="4">
        <v>173605.0</v>
      </c>
      <c r="U20" s="4">
        <v>183451.0</v>
      </c>
      <c r="V20" s="4">
        <v>157283.0</v>
      </c>
      <c r="W20" s="4">
        <v>78725.0</v>
      </c>
      <c r="X20" s="4">
        <v>52597.0</v>
      </c>
      <c r="Y20" s="4">
        <v>52232.0</v>
      </c>
      <c r="Z20" s="4">
        <v>6714.0</v>
      </c>
      <c r="AA20" s="4">
        <v>150569.0</v>
      </c>
      <c r="AB20" s="4">
        <v>3009.0</v>
      </c>
      <c r="AC20" s="4">
        <v>75716.0</v>
      </c>
      <c r="AD20" s="4">
        <v>14.0</v>
      </c>
      <c r="AE20" s="4">
        <v>52583.0</v>
      </c>
    </row>
    <row r="21" ht="15.75" customHeight="1">
      <c r="A21" s="9">
        <v>8.0</v>
      </c>
      <c r="B21" s="23">
        <v>0.302559</v>
      </c>
      <c r="C21" s="9">
        <v>42.0</v>
      </c>
      <c r="D21" s="9">
        <v>173365.0</v>
      </c>
      <c r="E21" s="9">
        <v>183211.0</v>
      </c>
      <c r="F21" s="9">
        <v>157561.0</v>
      </c>
      <c r="G21" s="9">
        <v>78631.0</v>
      </c>
      <c r="H21" s="9">
        <v>52751.0</v>
      </c>
      <c r="I21" s="9">
        <v>52134.0</v>
      </c>
      <c r="J21" s="9">
        <v>6620.0</v>
      </c>
      <c r="K21" s="9">
        <v>150941.0</v>
      </c>
      <c r="L21" s="9">
        <v>3038.0</v>
      </c>
      <c r="M21" s="9">
        <v>75593.0</v>
      </c>
      <c r="N21" s="9">
        <v>10.0</v>
      </c>
      <c r="O21" s="9">
        <v>52741.0</v>
      </c>
      <c r="Q21" s="9">
        <v>8.0</v>
      </c>
      <c r="R21" s="23">
        <v>0.208604</v>
      </c>
      <c r="S21" s="9">
        <v>23.0</v>
      </c>
      <c r="T21" s="9">
        <v>173365.0</v>
      </c>
      <c r="U21" s="9">
        <v>183211.0</v>
      </c>
      <c r="V21" s="9">
        <v>157561.0</v>
      </c>
      <c r="W21" s="9">
        <v>78631.0</v>
      </c>
      <c r="X21" s="9">
        <v>52751.0</v>
      </c>
      <c r="Y21" s="9">
        <v>52134.0</v>
      </c>
      <c r="Z21" s="9">
        <v>6620.0</v>
      </c>
      <c r="AA21" s="9">
        <v>150941.0</v>
      </c>
      <c r="AB21" s="9">
        <v>3038.0</v>
      </c>
      <c r="AC21" s="9">
        <v>75593.0</v>
      </c>
      <c r="AD21" s="9">
        <v>10.0</v>
      </c>
      <c r="AE21" s="9">
        <v>52741.0</v>
      </c>
    </row>
    <row r="22" ht="15.75" customHeight="1">
      <c r="A22" s="4">
        <v>9.0</v>
      </c>
      <c r="B22" s="22">
        <v>0.255967</v>
      </c>
      <c r="C22" s="4">
        <v>42.0</v>
      </c>
      <c r="D22" s="4">
        <v>173720.0</v>
      </c>
      <c r="E22" s="4">
        <v>183589.0</v>
      </c>
      <c r="F22" s="4">
        <v>157329.0</v>
      </c>
      <c r="G22" s="4">
        <v>78646.0</v>
      </c>
      <c r="H22" s="4">
        <v>52405.0</v>
      </c>
      <c r="I22" s="4">
        <v>52319.0</v>
      </c>
      <c r="J22" s="4">
        <v>6698.0</v>
      </c>
      <c r="K22" s="4">
        <v>150631.0</v>
      </c>
      <c r="L22" s="4">
        <v>2947.0</v>
      </c>
      <c r="M22" s="4">
        <v>75699.0</v>
      </c>
      <c r="N22" s="4">
        <v>16.0</v>
      </c>
      <c r="O22" s="4">
        <v>52389.0</v>
      </c>
      <c r="Q22" s="4">
        <v>9.0</v>
      </c>
      <c r="R22" s="22">
        <v>0.255659</v>
      </c>
      <c r="S22" s="4">
        <v>23.0</v>
      </c>
      <c r="T22" s="4">
        <v>173720.0</v>
      </c>
      <c r="U22" s="4">
        <v>183589.0</v>
      </c>
      <c r="V22" s="4">
        <v>157329.0</v>
      </c>
      <c r="W22" s="4">
        <v>78646.0</v>
      </c>
      <c r="X22" s="4">
        <v>52405.0</v>
      </c>
      <c r="Y22" s="4">
        <v>52319.0</v>
      </c>
      <c r="Z22" s="4">
        <v>6698.0</v>
      </c>
      <c r="AA22" s="4">
        <v>150631.0</v>
      </c>
      <c r="AB22" s="4">
        <v>2947.0</v>
      </c>
      <c r="AC22" s="4">
        <v>75699.0</v>
      </c>
      <c r="AD22" s="4">
        <v>16.0</v>
      </c>
      <c r="AE22" s="4">
        <v>52389.0</v>
      </c>
    </row>
    <row r="23" ht="15.75" customHeight="1">
      <c r="A23" s="9">
        <v>10.0</v>
      </c>
      <c r="B23" s="23">
        <v>0.339905</v>
      </c>
      <c r="C23" s="9">
        <v>42.0</v>
      </c>
      <c r="D23" s="9">
        <v>173622.0</v>
      </c>
      <c r="E23" s="9">
        <v>183678.0</v>
      </c>
      <c r="F23" s="9">
        <v>157314.0</v>
      </c>
      <c r="G23" s="9">
        <v>78547.0</v>
      </c>
      <c r="H23" s="9">
        <v>52399.0</v>
      </c>
      <c r="I23" s="9">
        <v>52350.0</v>
      </c>
      <c r="J23" s="9">
        <v>6631.0</v>
      </c>
      <c r="K23" s="9">
        <v>150683.0</v>
      </c>
      <c r="L23" s="9">
        <v>2998.0</v>
      </c>
      <c r="M23" s="9">
        <v>75549.0</v>
      </c>
      <c r="N23" s="9">
        <v>13.0</v>
      </c>
      <c r="O23" s="9">
        <v>52386.0</v>
      </c>
      <c r="Q23" s="9">
        <v>10.0</v>
      </c>
      <c r="R23" s="23">
        <v>0.25773</v>
      </c>
      <c r="S23" s="9">
        <v>24.0</v>
      </c>
      <c r="T23" s="9">
        <v>173622.0</v>
      </c>
      <c r="U23" s="9">
        <v>183678.0</v>
      </c>
      <c r="V23" s="9">
        <v>157314.0</v>
      </c>
      <c r="W23" s="9">
        <v>78547.0</v>
      </c>
      <c r="X23" s="9">
        <v>52399.0</v>
      </c>
      <c r="Y23" s="9">
        <v>52350.0</v>
      </c>
      <c r="Z23" s="9">
        <v>6631.0</v>
      </c>
      <c r="AA23" s="9">
        <v>150683.0</v>
      </c>
      <c r="AB23" s="9">
        <v>2998.0</v>
      </c>
      <c r="AC23" s="9">
        <v>75549.0</v>
      </c>
      <c r="AD23" s="9">
        <v>13.0</v>
      </c>
      <c r="AE23" s="9">
        <v>52386.0</v>
      </c>
    </row>
    <row r="24" ht="15.75" customHeight="1">
      <c r="A24" s="4">
        <v>11.0</v>
      </c>
      <c r="B24" s="22">
        <v>0.219724</v>
      </c>
      <c r="C24" s="4">
        <v>43.0</v>
      </c>
      <c r="D24" s="4">
        <v>173143.0</v>
      </c>
      <c r="E24" s="4">
        <v>183034.0</v>
      </c>
      <c r="F24" s="4">
        <v>157650.0</v>
      </c>
      <c r="G24" s="4">
        <v>78799.0</v>
      </c>
      <c r="H24" s="4">
        <v>52553.0</v>
      </c>
      <c r="I24" s="4">
        <v>52252.0</v>
      </c>
      <c r="J24" s="4">
        <v>6566.0</v>
      </c>
      <c r="K24" s="4">
        <v>151084.0</v>
      </c>
      <c r="L24" s="4">
        <v>2987.0</v>
      </c>
      <c r="M24" s="4">
        <v>75812.0</v>
      </c>
      <c r="N24" s="4">
        <v>18.0</v>
      </c>
      <c r="O24" s="4">
        <v>52535.0</v>
      </c>
      <c r="Q24" s="4">
        <v>11.0</v>
      </c>
      <c r="R24" s="22">
        <v>0.283627</v>
      </c>
      <c r="S24" s="4">
        <v>23.0</v>
      </c>
      <c r="T24" s="4">
        <v>173143.0</v>
      </c>
      <c r="U24" s="4">
        <v>183034.0</v>
      </c>
      <c r="V24" s="4">
        <v>157650.0</v>
      </c>
      <c r="W24" s="4">
        <v>78799.0</v>
      </c>
      <c r="X24" s="4">
        <v>52553.0</v>
      </c>
      <c r="Y24" s="4">
        <v>52252.0</v>
      </c>
      <c r="Z24" s="4">
        <v>6566.0</v>
      </c>
      <c r="AA24" s="4">
        <v>151084.0</v>
      </c>
      <c r="AB24" s="4">
        <v>2987.0</v>
      </c>
      <c r="AC24" s="4">
        <v>75812.0</v>
      </c>
      <c r="AD24" s="4">
        <v>18.0</v>
      </c>
      <c r="AE24" s="4">
        <v>52535.0</v>
      </c>
    </row>
    <row r="25" ht="15.75" customHeight="1">
      <c r="A25" s="9">
        <v>12.0</v>
      </c>
      <c r="B25" s="23">
        <v>0.252739</v>
      </c>
      <c r="C25" s="9">
        <v>42.0</v>
      </c>
      <c r="D25" s="9">
        <v>173650.0</v>
      </c>
      <c r="E25" s="9">
        <v>183607.0</v>
      </c>
      <c r="F25" s="9">
        <v>157823.0</v>
      </c>
      <c r="G25" s="9">
        <v>77977.0</v>
      </c>
      <c r="H25" s="9">
        <v>52228.0</v>
      </c>
      <c r="I25" s="9">
        <v>52653.0</v>
      </c>
      <c r="J25" s="9">
        <v>6658.0</v>
      </c>
      <c r="K25" s="9">
        <v>151165.0</v>
      </c>
      <c r="L25" s="9">
        <v>2858.0</v>
      </c>
      <c r="M25" s="9">
        <v>75119.0</v>
      </c>
      <c r="N25" s="9">
        <v>8.0</v>
      </c>
      <c r="O25" s="9">
        <v>52220.0</v>
      </c>
      <c r="Q25" s="9">
        <v>12.0</v>
      </c>
      <c r="R25" s="23">
        <v>0.217029</v>
      </c>
      <c r="S25" s="9">
        <v>23.0</v>
      </c>
      <c r="T25" s="9">
        <v>173650.0</v>
      </c>
      <c r="U25" s="9">
        <v>183607.0</v>
      </c>
      <c r="V25" s="9">
        <v>157823.0</v>
      </c>
      <c r="W25" s="9">
        <v>77977.0</v>
      </c>
      <c r="X25" s="9">
        <v>52228.0</v>
      </c>
      <c r="Y25" s="9">
        <v>52653.0</v>
      </c>
      <c r="Z25" s="9">
        <v>6658.0</v>
      </c>
      <c r="AA25" s="9">
        <v>151165.0</v>
      </c>
      <c r="AB25" s="9">
        <v>2858.0</v>
      </c>
      <c r="AC25" s="9">
        <v>75119.0</v>
      </c>
      <c r="AD25" s="9">
        <v>8.0</v>
      </c>
      <c r="AE25" s="9">
        <v>52220.0</v>
      </c>
    </row>
    <row r="26" ht="15.75" customHeight="1">
      <c r="A26" s="4">
        <v>13.0</v>
      </c>
      <c r="B26" s="22">
        <v>0.256217</v>
      </c>
      <c r="C26" s="4">
        <v>41.0</v>
      </c>
      <c r="D26" s="4">
        <v>173227.0</v>
      </c>
      <c r="E26" s="4">
        <v>183073.0</v>
      </c>
      <c r="F26" s="4">
        <v>157250.0</v>
      </c>
      <c r="G26" s="4">
        <v>78523.0</v>
      </c>
      <c r="H26" s="4">
        <v>52524.0</v>
      </c>
      <c r="I26" s="4">
        <v>52918.0</v>
      </c>
      <c r="J26" s="4">
        <v>6676.0</v>
      </c>
      <c r="K26" s="4">
        <v>150574.0</v>
      </c>
      <c r="L26" s="4">
        <v>2972.0</v>
      </c>
      <c r="M26" s="4">
        <v>75551.0</v>
      </c>
      <c r="N26" s="4">
        <v>13.0</v>
      </c>
      <c r="O26" s="4">
        <v>52511.0</v>
      </c>
      <c r="Q26" s="4">
        <v>13.0</v>
      </c>
      <c r="R26" s="22">
        <v>0.223248</v>
      </c>
      <c r="S26" s="4">
        <v>24.0</v>
      </c>
      <c r="T26" s="4">
        <v>173227.0</v>
      </c>
      <c r="U26" s="4">
        <v>183073.0</v>
      </c>
      <c r="V26" s="4">
        <v>157250.0</v>
      </c>
      <c r="W26" s="4">
        <v>78523.0</v>
      </c>
      <c r="X26" s="4">
        <v>52524.0</v>
      </c>
      <c r="Y26" s="4">
        <v>52918.0</v>
      </c>
      <c r="Z26" s="4">
        <v>6676.0</v>
      </c>
      <c r="AA26" s="4">
        <v>150574.0</v>
      </c>
      <c r="AB26" s="4">
        <v>2972.0</v>
      </c>
      <c r="AC26" s="4">
        <v>75551.0</v>
      </c>
      <c r="AD26" s="4">
        <v>13.0</v>
      </c>
      <c r="AE26" s="4">
        <v>52511.0</v>
      </c>
    </row>
    <row r="27" ht="15.75" customHeight="1">
      <c r="A27" s="9">
        <v>14.0</v>
      </c>
      <c r="B27" s="23">
        <v>0.259221</v>
      </c>
      <c r="C27" s="9">
        <v>40.0</v>
      </c>
      <c r="D27" s="9">
        <v>174068.0</v>
      </c>
      <c r="E27" s="9">
        <v>184057.0</v>
      </c>
      <c r="F27" s="9">
        <v>157202.0</v>
      </c>
      <c r="G27" s="9">
        <v>78570.0</v>
      </c>
      <c r="H27" s="9">
        <v>52305.0</v>
      </c>
      <c r="I27" s="9">
        <v>52154.0</v>
      </c>
      <c r="J27" s="9">
        <v>6613.0</v>
      </c>
      <c r="K27" s="9">
        <v>150589.0</v>
      </c>
      <c r="L27" s="9">
        <v>2973.0</v>
      </c>
      <c r="M27" s="9">
        <v>75597.0</v>
      </c>
      <c r="N27" s="9">
        <v>15.0</v>
      </c>
      <c r="O27" s="9">
        <v>52290.0</v>
      </c>
      <c r="Q27" s="9">
        <v>14.0</v>
      </c>
      <c r="R27" s="23">
        <v>0.239977</v>
      </c>
      <c r="S27" s="9">
        <v>23.0</v>
      </c>
      <c r="T27" s="9">
        <v>174068.0</v>
      </c>
      <c r="U27" s="9">
        <v>184057.0</v>
      </c>
      <c r="V27" s="9">
        <v>157202.0</v>
      </c>
      <c r="W27" s="9">
        <v>78570.0</v>
      </c>
      <c r="X27" s="9">
        <v>52305.0</v>
      </c>
      <c r="Y27" s="9">
        <v>52154.0</v>
      </c>
      <c r="Z27" s="9">
        <v>6613.0</v>
      </c>
      <c r="AA27" s="9">
        <v>150589.0</v>
      </c>
      <c r="AB27" s="9">
        <v>2973.0</v>
      </c>
      <c r="AC27" s="9">
        <v>75597.0</v>
      </c>
      <c r="AD27" s="9">
        <v>15.0</v>
      </c>
      <c r="AE27" s="9">
        <v>52290.0</v>
      </c>
    </row>
    <row r="28" ht="15.75" customHeight="1">
      <c r="A28" s="4">
        <v>15.0</v>
      </c>
      <c r="B28" s="22">
        <v>0.280542</v>
      </c>
      <c r="C28" s="4">
        <v>40.0</v>
      </c>
      <c r="D28" s="4">
        <v>173483.0</v>
      </c>
      <c r="E28" s="4">
        <v>183291.0</v>
      </c>
      <c r="F28" s="4">
        <v>157255.0</v>
      </c>
      <c r="G28" s="4">
        <v>78842.0</v>
      </c>
      <c r="H28" s="4">
        <v>52495.0</v>
      </c>
      <c r="I28" s="4">
        <v>52405.0</v>
      </c>
      <c r="J28" s="4">
        <v>6512.0</v>
      </c>
      <c r="K28" s="4">
        <v>150743.0</v>
      </c>
      <c r="L28" s="4">
        <v>2900.0</v>
      </c>
      <c r="M28" s="4">
        <v>75942.0</v>
      </c>
      <c r="N28" s="4">
        <v>16.0</v>
      </c>
      <c r="O28" s="4">
        <v>52479.0</v>
      </c>
      <c r="Q28" s="4">
        <v>15.0</v>
      </c>
      <c r="R28" s="22">
        <v>0.198455</v>
      </c>
      <c r="S28" s="4">
        <v>24.0</v>
      </c>
      <c r="T28" s="4">
        <v>173483.0</v>
      </c>
      <c r="U28" s="4">
        <v>183291.0</v>
      </c>
      <c r="V28" s="4">
        <v>157255.0</v>
      </c>
      <c r="W28" s="4">
        <v>78842.0</v>
      </c>
      <c r="X28" s="4">
        <v>52495.0</v>
      </c>
      <c r="Y28" s="4">
        <v>52405.0</v>
      </c>
      <c r="Z28" s="4">
        <v>6512.0</v>
      </c>
      <c r="AA28" s="4">
        <v>150743.0</v>
      </c>
      <c r="AB28" s="4">
        <v>2900.0</v>
      </c>
      <c r="AC28" s="4">
        <v>75942.0</v>
      </c>
      <c r="AD28" s="4">
        <v>16.0</v>
      </c>
      <c r="AE28" s="4">
        <v>52479.0</v>
      </c>
    </row>
    <row r="29" ht="15.75" customHeight="1">
      <c r="A29" s="9">
        <v>16.0</v>
      </c>
      <c r="B29" s="23">
        <v>0.296401</v>
      </c>
      <c r="C29" s="9">
        <v>47.0</v>
      </c>
      <c r="D29" s="9">
        <v>172904.0</v>
      </c>
      <c r="E29" s="9">
        <v>182828.0</v>
      </c>
      <c r="F29" s="9">
        <v>157668.0</v>
      </c>
      <c r="G29" s="9">
        <v>78759.0</v>
      </c>
      <c r="H29" s="9">
        <v>52497.0</v>
      </c>
      <c r="I29" s="9">
        <v>52536.0</v>
      </c>
      <c r="J29" s="9">
        <v>6694.0</v>
      </c>
      <c r="K29" s="9">
        <v>150974.0</v>
      </c>
      <c r="L29" s="9">
        <v>2938.0</v>
      </c>
      <c r="M29" s="9">
        <v>75821.0</v>
      </c>
      <c r="N29" s="9">
        <v>20.0</v>
      </c>
      <c r="O29" s="9">
        <v>52477.0</v>
      </c>
      <c r="Q29" s="9">
        <v>16.0</v>
      </c>
      <c r="R29" s="23">
        <v>0.215795</v>
      </c>
      <c r="S29" s="9">
        <v>24.0</v>
      </c>
      <c r="T29" s="9">
        <v>172904.0</v>
      </c>
      <c r="U29" s="9">
        <v>182828.0</v>
      </c>
      <c r="V29" s="9">
        <v>157668.0</v>
      </c>
      <c r="W29" s="9">
        <v>78759.0</v>
      </c>
      <c r="X29" s="9">
        <v>52497.0</v>
      </c>
      <c r="Y29" s="9">
        <v>52536.0</v>
      </c>
      <c r="Z29" s="9">
        <v>6694.0</v>
      </c>
      <c r="AA29" s="9">
        <v>150974.0</v>
      </c>
      <c r="AB29" s="9">
        <v>2938.0</v>
      </c>
      <c r="AC29" s="9">
        <v>75821.0</v>
      </c>
      <c r="AD29" s="9">
        <v>20.0</v>
      </c>
      <c r="AE29" s="9">
        <v>52477.0</v>
      </c>
    </row>
    <row r="30" ht="15.75" customHeight="1">
      <c r="A30" s="4">
        <v>17.0</v>
      </c>
      <c r="B30" s="22">
        <v>0.281938</v>
      </c>
      <c r="C30" s="4">
        <v>41.0</v>
      </c>
      <c r="D30" s="4">
        <v>173382.0</v>
      </c>
      <c r="E30" s="4">
        <v>183426.0</v>
      </c>
      <c r="F30" s="4">
        <v>157544.0</v>
      </c>
      <c r="G30" s="4">
        <v>78737.0</v>
      </c>
      <c r="H30" s="4">
        <v>52285.0</v>
      </c>
      <c r="I30" s="4">
        <v>52296.0</v>
      </c>
      <c r="J30" s="4">
        <v>6679.0</v>
      </c>
      <c r="K30" s="4">
        <v>150865.0</v>
      </c>
      <c r="L30" s="4">
        <v>3038.0</v>
      </c>
      <c r="M30" s="4">
        <v>75699.0</v>
      </c>
      <c r="N30" s="4">
        <v>16.0</v>
      </c>
      <c r="O30" s="4">
        <v>52269.0</v>
      </c>
      <c r="Q30" s="4">
        <v>17.0</v>
      </c>
      <c r="R30" s="22">
        <v>0.243236</v>
      </c>
      <c r="S30" s="4">
        <v>23.0</v>
      </c>
      <c r="T30" s="4">
        <v>173382.0</v>
      </c>
      <c r="U30" s="4">
        <v>183426.0</v>
      </c>
      <c r="V30" s="4">
        <v>157544.0</v>
      </c>
      <c r="W30" s="4">
        <v>78737.0</v>
      </c>
      <c r="X30" s="4">
        <v>52285.0</v>
      </c>
      <c r="Y30" s="4">
        <v>52296.0</v>
      </c>
      <c r="Z30" s="4">
        <v>6679.0</v>
      </c>
      <c r="AA30" s="4">
        <v>150865.0</v>
      </c>
      <c r="AB30" s="4">
        <v>3038.0</v>
      </c>
      <c r="AC30" s="4">
        <v>75699.0</v>
      </c>
      <c r="AD30" s="4">
        <v>16.0</v>
      </c>
      <c r="AE30" s="4">
        <v>52269.0</v>
      </c>
    </row>
    <row r="31" ht="15.75" customHeight="1">
      <c r="A31" s="9">
        <v>18.0</v>
      </c>
      <c r="B31" s="23">
        <v>0.251212</v>
      </c>
      <c r="C31" s="9">
        <v>38.0</v>
      </c>
      <c r="D31" s="9">
        <v>173244.0</v>
      </c>
      <c r="E31" s="9">
        <v>183222.0</v>
      </c>
      <c r="F31" s="9">
        <v>156994.0</v>
      </c>
      <c r="G31" s="9">
        <v>78972.0</v>
      </c>
      <c r="H31" s="9">
        <v>52582.0</v>
      </c>
      <c r="I31" s="9">
        <v>52518.0</v>
      </c>
      <c r="J31" s="9">
        <v>6623.0</v>
      </c>
      <c r="K31" s="9">
        <v>150371.0</v>
      </c>
      <c r="L31" s="9">
        <v>2978.0</v>
      </c>
      <c r="M31" s="9">
        <v>75994.0</v>
      </c>
      <c r="N31" s="9">
        <v>20.0</v>
      </c>
      <c r="O31" s="9">
        <v>52562.0</v>
      </c>
      <c r="Q31" s="9">
        <v>18.0</v>
      </c>
      <c r="R31" s="23">
        <v>0.198647</v>
      </c>
      <c r="S31" s="9">
        <v>24.0</v>
      </c>
      <c r="T31" s="9">
        <v>173244.0</v>
      </c>
      <c r="U31" s="9">
        <v>183222.0</v>
      </c>
      <c r="V31" s="9">
        <v>156994.0</v>
      </c>
      <c r="W31" s="9">
        <v>78972.0</v>
      </c>
      <c r="X31" s="9">
        <v>52582.0</v>
      </c>
      <c r="Y31" s="9">
        <v>52518.0</v>
      </c>
      <c r="Z31" s="9">
        <v>6623.0</v>
      </c>
      <c r="AA31" s="9">
        <v>150371.0</v>
      </c>
      <c r="AB31" s="9">
        <v>2978.0</v>
      </c>
      <c r="AC31" s="9">
        <v>75994.0</v>
      </c>
      <c r="AD31" s="9">
        <v>20.0</v>
      </c>
      <c r="AE31" s="9">
        <v>52562.0</v>
      </c>
    </row>
    <row r="32" ht="15.75" customHeight="1">
      <c r="A32" s="4">
        <v>19.0</v>
      </c>
      <c r="B32" s="22">
        <v>0.201333</v>
      </c>
      <c r="C32" s="4">
        <v>43.0</v>
      </c>
      <c r="D32" s="4">
        <v>173514.0</v>
      </c>
      <c r="E32" s="4">
        <v>183481.0</v>
      </c>
      <c r="F32" s="4">
        <v>157230.0</v>
      </c>
      <c r="G32" s="4">
        <v>78562.0</v>
      </c>
      <c r="H32" s="4">
        <v>52316.0</v>
      </c>
      <c r="I32" s="4">
        <v>52699.0</v>
      </c>
      <c r="J32" s="4">
        <v>6397.0</v>
      </c>
      <c r="K32" s="4">
        <v>150833.0</v>
      </c>
      <c r="L32" s="4">
        <v>2900.0</v>
      </c>
      <c r="M32" s="4">
        <v>75662.0</v>
      </c>
      <c r="N32" s="4">
        <v>13.0</v>
      </c>
      <c r="O32" s="4">
        <v>52303.0</v>
      </c>
      <c r="Q32" s="4">
        <v>19.0</v>
      </c>
      <c r="R32" s="22">
        <v>0.238063</v>
      </c>
      <c r="S32" s="4">
        <v>23.0</v>
      </c>
      <c r="T32" s="4">
        <v>173514.0</v>
      </c>
      <c r="U32" s="4">
        <v>183481.0</v>
      </c>
      <c r="V32" s="4">
        <v>157230.0</v>
      </c>
      <c r="W32" s="4">
        <v>78562.0</v>
      </c>
      <c r="X32" s="4">
        <v>52316.0</v>
      </c>
      <c r="Y32" s="4">
        <v>52699.0</v>
      </c>
      <c r="Z32" s="4">
        <v>6397.0</v>
      </c>
      <c r="AA32" s="4">
        <v>150833.0</v>
      </c>
      <c r="AB32" s="4">
        <v>2900.0</v>
      </c>
      <c r="AC32" s="4">
        <v>75662.0</v>
      </c>
      <c r="AD32" s="4">
        <v>13.0</v>
      </c>
      <c r="AE32" s="4">
        <v>52303.0</v>
      </c>
    </row>
    <row r="33" ht="15.75" customHeight="1">
      <c r="A33" s="9">
        <v>20.0</v>
      </c>
      <c r="B33" s="23">
        <v>0.267047</v>
      </c>
      <c r="C33" s="9">
        <v>40.0</v>
      </c>
      <c r="D33" s="9">
        <v>173571.0</v>
      </c>
      <c r="E33" s="9">
        <v>183526.0</v>
      </c>
      <c r="F33" s="9">
        <v>157633.0</v>
      </c>
      <c r="G33" s="9">
        <v>78355.0</v>
      </c>
      <c r="H33" s="9">
        <v>52412.0</v>
      </c>
      <c r="I33" s="9">
        <v>52362.0</v>
      </c>
      <c r="J33" s="9">
        <v>6648.0</v>
      </c>
      <c r="K33" s="9">
        <v>150985.0</v>
      </c>
      <c r="L33" s="9">
        <v>2987.0</v>
      </c>
      <c r="M33" s="9">
        <v>75368.0</v>
      </c>
      <c r="N33" s="9">
        <v>17.0</v>
      </c>
      <c r="O33" s="9">
        <v>52395.0</v>
      </c>
      <c r="Q33" s="9">
        <v>20.0</v>
      </c>
      <c r="R33" s="23">
        <v>0.232599</v>
      </c>
      <c r="S33" s="9">
        <v>24.0</v>
      </c>
      <c r="T33" s="9">
        <v>173571.0</v>
      </c>
      <c r="U33" s="9">
        <v>183526.0</v>
      </c>
      <c r="V33" s="9">
        <v>157633.0</v>
      </c>
      <c r="W33" s="9">
        <v>78355.0</v>
      </c>
      <c r="X33" s="9">
        <v>52412.0</v>
      </c>
      <c r="Y33" s="9">
        <v>52362.0</v>
      </c>
      <c r="Z33" s="9">
        <v>6648.0</v>
      </c>
      <c r="AA33" s="9">
        <v>150985.0</v>
      </c>
      <c r="AB33" s="9">
        <v>2987.0</v>
      </c>
      <c r="AC33" s="9">
        <v>75368.0</v>
      </c>
      <c r="AD33" s="9">
        <v>17.0</v>
      </c>
      <c r="AE33" s="9">
        <v>52395.0</v>
      </c>
    </row>
    <row r="34" ht="15.75" customHeight="1">
      <c r="A34" s="4">
        <v>21.0</v>
      </c>
      <c r="B34" s="22">
        <v>0.243284</v>
      </c>
      <c r="C34" s="4">
        <v>40.0</v>
      </c>
      <c r="D34" s="4">
        <v>173276.0</v>
      </c>
      <c r="E34" s="4">
        <v>183349.0</v>
      </c>
      <c r="F34" s="4">
        <v>157231.0</v>
      </c>
      <c r="G34" s="4">
        <v>78665.0</v>
      </c>
      <c r="H34" s="4">
        <v>52724.0</v>
      </c>
      <c r="I34" s="4">
        <v>52319.0</v>
      </c>
      <c r="J34" s="4">
        <v>6578.0</v>
      </c>
      <c r="K34" s="4">
        <v>150653.0</v>
      </c>
      <c r="L34" s="4">
        <v>2907.0</v>
      </c>
      <c r="M34" s="4">
        <v>75758.0</v>
      </c>
      <c r="N34" s="4">
        <v>8.0</v>
      </c>
      <c r="O34" s="4">
        <v>52716.0</v>
      </c>
      <c r="Q34" s="4">
        <v>21.0</v>
      </c>
      <c r="R34" s="22">
        <v>0.238665</v>
      </c>
      <c r="S34" s="4">
        <v>24.0</v>
      </c>
      <c r="T34" s="4">
        <v>173276.0</v>
      </c>
      <c r="U34" s="4">
        <v>183349.0</v>
      </c>
      <c r="V34" s="4">
        <v>157231.0</v>
      </c>
      <c r="W34" s="4">
        <v>78665.0</v>
      </c>
      <c r="X34" s="4">
        <v>52724.0</v>
      </c>
      <c r="Y34" s="4">
        <v>52319.0</v>
      </c>
      <c r="Z34" s="4">
        <v>6578.0</v>
      </c>
      <c r="AA34" s="4">
        <v>150653.0</v>
      </c>
      <c r="AB34" s="4">
        <v>2907.0</v>
      </c>
      <c r="AC34" s="4">
        <v>75758.0</v>
      </c>
      <c r="AD34" s="4">
        <v>8.0</v>
      </c>
      <c r="AE34" s="4">
        <v>52716.0</v>
      </c>
    </row>
    <row r="35" ht="15.75" customHeight="1">
      <c r="A35" s="9">
        <v>22.0</v>
      </c>
      <c r="B35" s="23">
        <v>0.222146</v>
      </c>
      <c r="C35" s="9">
        <v>40.0</v>
      </c>
      <c r="D35" s="9">
        <v>173928.0</v>
      </c>
      <c r="E35" s="9">
        <v>183860.0</v>
      </c>
      <c r="F35" s="9">
        <v>156891.0</v>
      </c>
      <c r="G35" s="9">
        <v>78645.0</v>
      </c>
      <c r="H35" s="9">
        <v>52309.0</v>
      </c>
      <c r="I35" s="9">
        <v>52583.0</v>
      </c>
      <c r="J35" s="9">
        <v>6588.0</v>
      </c>
      <c r="K35" s="9">
        <v>150303.0</v>
      </c>
      <c r="L35" s="9">
        <v>2946.0</v>
      </c>
      <c r="M35" s="9">
        <v>75699.0</v>
      </c>
      <c r="N35" s="9">
        <v>14.0</v>
      </c>
      <c r="O35" s="9">
        <v>52295.0</v>
      </c>
      <c r="Q35" s="9">
        <v>22.0</v>
      </c>
      <c r="R35" s="23">
        <v>0.223864</v>
      </c>
      <c r="S35" s="9">
        <v>23.0</v>
      </c>
      <c r="T35" s="9">
        <v>173928.0</v>
      </c>
      <c r="U35" s="9">
        <v>183860.0</v>
      </c>
      <c r="V35" s="9">
        <v>156891.0</v>
      </c>
      <c r="W35" s="9">
        <v>78645.0</v>
      </c>
      <c r="X35" s="9">
        <v>52309.0</v>
      </c>
      <c r="Y35" s="9">
        <v>52583.0</v>
      </c>
      <c r="Z35" s="9">
        <v>6588.0</v>
      </c>
      <c r="AA35" s="9">
        <v>150303.0</v>
      </c>
      <c r="AB35" s="9">
        <v>2946.0</v>
      </c>
      <c r="AC35" s="9">
        <v>75699.0</v>
      </c>
      <c r="AD35" s="9">
        <v>14.0</v>
      </c>
      <c r="AE35" s="9">
        <v>52295.0</v>
      </c>
    </row>
    <row r="36" ht="15.75" customHeight="1">
      <c r="A36" s="4">
        <v>23.0</v>
      </c>
      <c r="B36" s="22">
        <v>0.263026</v>
      </c>
      <c r="C36" s="4">
        <v>40.0</v>
      </c>
      <c r="D36" s="4">
        <v>173128.0</v>
      </c>
      <c r="E36" s="4">
        <v>183013.0</v>
      </c>
      <c r="F36" s="4">
        <v>157184.0</v>
      </c>
      <c r="G36" s="4">
        <v>79056.0</v>
      </c>
      <c r="H36" s="4">
        <v>52662.0</v>
      </c>
      <c r="I36" s="4">
        <v>52373.0</v>
      </c>
      <c r="J36" s="4">
        <v>6557.0</v>
      </c>
      <c r="K36" s="4">
        <v>150627.0</v>
      </c>
      <c r="L36" s="4">
        <v>2978.0</v>
      </c>
      <c r="M36" s="4">
        <v>76078.0</v>
      </c>
      <c r="N36" s="4">
        <v>18.0</v>
      </c>
      <c r="O36" s="4">
        <v>52644.0</v>
      </c>
      <c r="Q36" s="4">
        <v>23.0</v>
      </c>
      <c r="R36" s="22">
        <v>0.234183</v>
      </c>
      <c r="S36" s="4">
        <v>24.0</v>
      </c>
      <c r="T36" s="4">
        <v>173128.0</v>
      </c>
      <c r="U36" s="4">
        <v>183013.0</v>
      </c>
      <c r="V36" s="4">
        <v>157184.0</v>
      </c>
      <c r="W36" s="4">
        <v>79056.0</v>
      </c>
      <c r="X36" s="4">
        <v>52662.0</v>
      </c>
      <c r="Y36" s="4">
        <v>52373.0</v>
      </c>
      <c r="Z36" s="4">
        <v>6557.0</v>
      </c>
      <c r="AA36" s="4">
        <v>150627.0</v>
      </c>
      <c r="AB36" s="4">
        <v>2978.0</v>
      </c>
      <c r="AC36" s="4">
        <v>76078.0</v>
      </c>
      <c r="AD36" s="4">
        <v>18.0</v>
      </c>
      <c r="AE36" s="4">
        <v>52644.0</v>
      </c>
    </row>
    <row r="37" ht="15.75" customHeight="1">
      <c r="A37" s="9">
        <v>24.0</v>
      </c>
      <c r="B37" s="23">
        <v>0.298118</v>
      </c>
      <c r="C37" s="9">
        <v>40.0</v>
      </c>
      <c r="D37" s="9">
        <v>173428.0</v>
      </c>
      <c r="E37" s="9">
        <v>183474.0</v>
      </c>
      <c r="F37" s="9">
        <v>156730.0</v>
      </c>
      <c r="G37" s="9">
        <v>79110.0</v>
      </c>
      <c r="H37" s="9">
        <v>52437.0</v>
      </c>
      <c r="I37" s="9">
        <v>52537.0</v>
      </c>
      <c r="J37" s="9">
        <v>6591.0</v>
      </c>
      <c r="K37" s="9">
        <v>150139.0</v>
      </c>
      <c r="L37" s="9">
        <v>3048.0</v>
      </c>
      <c r="M37" s="9">
        <v>76062.0</v>
      </c>
      <c r="N37" s="9">
        <v>16.0</v>
      </c>
      <c r="O37" s="9">
        <v>52421.0</v>
      </c>
      <c r="Q37" s="9">
        <v>24.0</v>
      </c>
      <c r="R37" s="23">
        <v>0.198181</v>
      </c>
      <c r="S37" s="9">
        <v>24.0</v>
      </c>
      <c r="T37" s="9">
        <v>173428.0</v>
      </c>
      <c r="U37" s="9">
        <v>183474.0</v>
      </c>
      <c r="V37" s="9">
        <v>156730.0</v>
      </c>
      <c r="W37" s="9">
        <v>79110.0</v>
      </c>
      <c r="X37" s="9">
        <v>52437.0</v>
      </c>
      <c r="Y37" s="9">
        <v>52537.0</v>
      </c>
      <c r="Z37" s="9">
        <v>6591.0</v>
      </c>
      <c r="AA37" s="9">
        <v>150139.0</v>
      </c>
      <c r="AB37" s="9">
        <v>3048.0</v>
      </c>
      <c r="AC37" s="9">
        <v>76062.0</v>
      </c>
      <c r="AD37" s="9">
        <v>16.0</v>
      </c>
      <c r="AE37" s="9">
        <v>52421.0</v>
      </c>
    </row>
    <row r="38" ht="15.75" customHeight="1">
      <c r="A38" s="4">
        <v>25.0</v>
      </c>
      <c r="B38" s="22">
        <v>0.238688</v>
      </c>
      <c r="C38" s="4">
        <v>40.0</v>
      </c>
      <c r="D38" s="4">
        <v>173227.0</v>
      </c>
      <c r="E38" s="4">
        <v>183041.0</v>
      </c>
      <c r="F38" s="4">
        <v>157819.0</v>
      </c>
      <c r="G38" s="4">
        <v>78792.0</v>
      </c>
      <c r="H38" s="4">
        <v>52127.0</v>
      </c>
      <c r="I38" s="4">
        <v>52509.0</v>
      </c>
      <c r="J38" s="4">
        <v>6750.0</v>
      </c>
      <c r="K38" s="4">
        <v>151069.0</v>
      </c>
      <c r="L38" s="4">
        <v>3038.0</v>
      </c>
      <c r="M38" s="4">
        <v>75754.0</v>
      </c>
      <c r="N38" s="4">
        <v>22.0</v>
      </c>
      <c r="O38" s="4">
        <v>52105.0</v>
      </c>
      <c r="Q38" s="4">
        <v>25.0</v>
      </c>
      <c r="R38" s="22">
        <v>0.225173</v>
      </c>
      <c r="S38" s="4">
        <v>24.0</v>
      </c>
      <c r="T38" s="4">
        <v>173227.0</v>
      </c>
      <c r="U38" s="4">
        <v>183041.0</v>
      </c>
      <c r="V38" s="4">
        <v>157819.0</v>
      </c>
      <c r="W38" s="4">
        <v>78792.0</v>
      </c>
      <c r="X38" s="4">
        <v>52127.0</v>
      </c>
      <c r="Y38" s="4">
        <v>52509.0</v>
      </c>
      <c r="Z38" s="4">
        <v>6750.0</v>
      </c>
      <c r="AA38" s="4">
        <v>151069.0</v>
      </c>
      <c r="AB38" s="4">
        <v>3038.0</v>
      </c>
      <c r="AC38" s="4">
        <v>75754.0</v>
      </c>
      <c r="AD38" s="4">
        <v>22.0</v>
      </c>
      <c r="AE38" s="4">
        <v>52105.0</v>
      </c>
    </row>
    <row r="39" ht="15.75" customHeight="1">
      <c r="A39" s="9">
        <v>26.0</v>
      </c>
      <c r="B39" s="23">
        <v>0.256837</v>
      </c>
      <c r="C39" s="9">
        <v>38.0</v>
      </c>
      <c r="D39" s="9">
        <v>173759.0</v>
      </c>
      <c r="E39" s="9">
        <v>183613.0</v>
      </c>
      <c r="F39" s="9">
        <v>157411.0</v>
      </c>
      <c r="G39" s="9">
        <v>78879.0</v>
      </c>
      <c r="H39" s="9">
        <v>52376.0</v>
      </c>
      <c r="I39" s="9">
        <v>52009.0</v>
      </c>
      <c r="J39" s="9">
        <v>6637.0</v>
      </c>
      <c r="K39" s="9">
        <v>150774.0</v>
      </c>
      <c r="L39" s="9">
        <v>2986.0</v>
      </c>
      <c r="M39" s="9">
        <v>75893.0</v>
      </c>
      <c r="N39" s="9">
        <v>12.0</v>
      </c>
      <c r="O39" s="9">
        <v>52364.0</v>
      </c>
      <c r="Q39" s="9">
        <v>26.0</v>
      </c>
      <c r="R39" s="23">
        <v>0.228754</v>
      </c>
      <c r="S39" s="9">
        <v>24.0</v>
      </c>
      <c r="T39" s="9">
        <v>173759.0</v>
      </c>
      <c r="U39" s="9">
        <v>183613.0</v>
      </c>
      <c r="V39" s="9">
        <v>157411.0</v>
      </c>
      <c r="W39" s="9">
        <v>78879.0</v>
      </c>
      <c r="X39" s="9">
        <v>52376.0</v>
      </c>
      <c r="Y39" s="9">
        <v>52009.0</v>
      </c>
      <c r="Z39" s="9">
        <v>6637.0</v>
      </c>
      <c r="AA39" s="9">
        <v>150774.0</v>
      </c>
      <c r="AB39" s="9">
        <v>2986.0</v>
      </c>
      <c r="AC39" s="9">
        <v>75893.0</v>
      </c>
      <c r="AD39" s="9">
        <v>12.0</v>
      </c>
      <c r="AE39" s="9">
        <v>52364.0</v>
      </c>
    </row>
    <row r="40" ht="15.75" customHeight="1">
      <c r="A40" s="4">
        <v>27.0</v>
      </c>
      <c r="B40" s="22">
        <v>0.245603</v>
      </c>
      <c r="C40" s="4">
        <v>41.0</v>
      </c>
      <c r="D40" s="4">
        <v>173726.0</v>
      </c>
      <c r="E40" s="4">
        <v>183696.0</v>
      </c>
      <c r="F40" s="4">
        <v>156759.0</v>
      </c>
      <c r="G40" s="4">
        <v>78756.0</v>
      </c>
      <c r="H40" s="4">
        <v>52617.0</v>
      </c>
      <c r="I40" s="4">
        <v>52460.0</v>
      </c>
      <c r="J40" s="4">
        <v>6579.0</v>
      </c>
      <c r="K40" s="4">
        <v>150180.0</v>
      </c>
      <c r="L40" s="4">
        <v>2879.0</v>
      </c>
      <c r="M40" s="4">
        <v>75877.0</v>
      </c>
      <c r="N40" s="4">
        <v>17.0</v>
      </c>
      <c r="O40" s="4">
        <v>52600.0</v>
      </c>
      <c r="Q40" s="4">
        <v>27.0</v>
      </c>
      <c r="R40" s="22">
        <v>0.214894</v>
      </c>
      <c r="S40" s="4">
        <v>23.0</v>
      </c>
      <c r="T40" s="4">
        <v>173726.0</v>
      </c>
      <c r="U40" s="4">
        <v>183696.0</v>
      </c>
      <c r="V40" s="4">
        <v>156759.0</v>
      </c>
      <c r="W40" s="4">
        <v>78756.0</v>
      </c>
      <c r="X40" s="4">
        <v>52617.0</v>
      </c>
      <c r="Y40" s="4">
        <v>52460.0</v>
      </c>
      <c r="Z40" s="4">
        <v>6579.0</v>
      </c>
      <c r="AA40" s="4">
        <v>150180.0</v>
      </c>
      <c r="AB40" s="4">
        <v>2879.0</v>
      </c>
      <c r="AC40" s="4">
        <v>75877.0</v>
      </c>
      <c r="AD40" s="4">
        <v>17.0</v>
      </c>
      <c r="AE40" s="4">
        <v>52600.0</v>
      </c>
    </row>
    <row r="41" ht="15.75" customHeight="1">
      <c r="A41" s="9">
        <v>28.0</v>
      </c>
      <c r="B41" s="23">
        <v>0.329167</v>
      </c>
      <c r="C41" s="9">
        <v>40.0</v>
      </c>
      <c r="D41" s="9">
        <v>173294.0</v>
      </c>
      <c r="E41" s="9">
        <v>183260.0</v>
      </c>
      <c r="F41" s="9">
        <v>157634.0</v>
      </c>
      <c r="G41" s="9">
        <v>78657.0</v>
      </c>
      <c r="H41" s="9">
        <v>52455.0</v>
      </c>
      <c r="I41" s="9">
        <v>52282.0</v>
      </c>
      <c r="J41" s="9">
        <v>6649.0</v>
      </c>
      <c r="K41" s="9">
        <v>150985.0</v>
      </c>
      <c r="L41" s="9">
        <v>3088.0</v>
      </c>
      <c r="M41" s="9">
        <v>75569.0</v>
      </c>
      <c r="N41" s="9">
        <v>20.0</v>
      </c>
      <c r="O41" s="9">
        <v>52435.0</v>
      </c>
      <c r="Q41" s="9">
        <v>28.0</v>
      </c>
      <c r="R41" s="23">
        <v>0.294265</v>
      </c>
      <c r="S41" s="9">
        <v>23.0</v>
      </c>
      <c r="T41" s="9">
        <v>173294.0</v>
      </c>
      <c r="U41" s="9">
        <v>183260.0</v>
      </c>
      <c r="V41" s="9">
        <v>157634.0</v>
      </c>
      <c r="W41" s="9">
        <v>78657.0</v>
      </c>
      <c r="X41" s="9">
        <v>52455.0</v>
      </c>
      <c r="Y41" s="9">
        <v>52282.0</v>
      </c>
      <c r="Z41" s="9">
        <v>6649.0</v>
      </c>
      <c r="AA41" s="9">
        <v>150985.0</v>
      </c>
      <c r="AB41" s="9">
        <v>3088.0</v>
      </c>
      <c r="AC41" s="9">
        <v>75569.0</v>
      </c>
      <c r="AD41" s="9">
        <v>20.0</v>
      </c>
      <c r="AE41" s="9">
        <v>52435.0</v>
      </c>
    </row>
    <row r="42" ht="15.75" customHeight="1">
      <c r="A42" s="4">
        <v>29.0</v>
      </c>
      <c r="B42" s="22">
        <v>0.257096</v>
      </c>
      <c r="C42" s="4">
        <v>41.0</v>
      </c>
      <c r="D42" s="4">
        <v>173918.0</v>
      </c>
      <c r="E42" s="4">
        <v>184017.0</v>
      </c>
      <c r="F42" s="4">
        <v>157037.0</v>
      </c>
      <c r="G42" s="4">
        <v>78625.0</v>
      </c>
      <c r="H42" s="4">
        <v>52261.0</v>
      </c>
      <c r="I42" s="4">
        <v>52348.0</v>
      </c>
      <c r="J42" s="4">
        <v>6507.0</v>
      </c>
      <c r="K42" s="4">
        <v>150530.0</v>
      </c>
      <c r="L42" s="4">
        <v>2981.0</v>
      </c>
      <c r="M42" s="4">
        <v>75644.0</v>
      </c>
      <c r="N42" s="4">
        <v>14.0</v>
      </c>
      <c r="O42" s="4">
        <v>52247.0</v>
      </c>
      <c r="Q42" s="4">
        <v>29.0</v>
      </c>
      <c r="R42" s="22">
        <v>0.232639</v>
      </c>
      <c r="S42" s="4">
        <v>23.0</v>
      </c>
      <c r="T42" s="4">
        <v>173918.0</v>
      </c>
      <c r="U42" s="4">
        <v>184017.0</v>
      </c>
      <c r="V42" s="4">
        <v>157037.0</v>
      </c>
      <c r="W42" s="4">
        <v>78625.0</v>
      </c>
      <c r="X42" s="4">
        <v>52261.0</v>
      </c>
      <c r="Y42" s="4">
        <v>52348.0</v>
      </c>
      <c r="Z42" s="4">
        <v>6507.0</v>
      </c>
      <c r="AA42" s="4">
        <v>150530.0</v>
      </c>
      <c r="AB42" s="4">
        <v>2981.0</v>
      </c>
      <c r="AC42" s="4">
        <v>75644.0</v>
      </c>
      <c r="AD42" s="4">
        <v>14.0</v>
      </c>
      <c r="AE42" s="4">
        <v>52247.0</v>
      </c>
    </row>
    <row r="43" ht="15.75" customHeight="1">
      <c r="A43" s="9">
        <v>30.0</v>
      </c>
      <c r="B43" s="23">
        <v>0.279172</v>
      </c>
      <c r="C43" s="9">
        <v>43.0</v>
      </c>
      <c r="D43" s="9">
        <v>173402.0</v>
      </c>
      <c r="E43" s="9">
        <v>183496.0</v>
      </c>
      <c r="F43" s="9">
        <v>157068.0</v>
      </c>
      <c r="G43" s="9">
        <v>78561.0</v>
      </c>
      <c r="H43" s="9">
        <v>52545.0</v>
      </c>
      <c r="I43" s="9">
        <v>52618.0</v>
      </c>
      <c r="J43" s="9">
        <v>6605.0</v>
      </c>
      <c r="K43" s="9">
        <v>150463.0</v>
      </c>
      <c r="L43" s="9">
        <v>3010.0</v>
      </c>
      <c r="M43" s="9">
        <v>75551.0</v>
      </c>
      <c r="N43" s="9">
        <v>16.0</v>
      </c>
      <c r="O43" s="9">
        <v>52529.0</v>
      </c>
      <c r="Q43" s="9">
        <v>30.0</v>
      </c>
      <c r="R43" s="23">
        <v>0.254136</v>
      </c>
      <c r="S43" s="9">
        <v>23.0</v>
      </c>
      <c r="T43" s="9">
        <v>173402.0</v>
      </c>
      <c r="U43" s="9">
        <v>183496.0</v>
      </c>
      <c r="V43" s="9">
        <v>157068.0</v>
      </c>
      <c r="W43" s="9">
        <v>78561.0</v>
      </c>
      <c r="X43" s="9">
        <v>52545.0</v>
      </c>
      <c r="Y43" s="9">
        <v>52618.0</v>
      </c>
      <c r="Z43" s="9">
        <v>6605.0</v>
      </c>
      <c r="AA43" s="9">
        <v>150463.0</v>
      </c>
      <c r="AB43" s="9">
        <v>3010.0</v>
      </c>
      <c r="AC43" s="9">
        <v>75551.0</v>
      </c>
      <c r="AD43" s="9">
        <v>16.0</v>
      </c>
      <c r="AE43" s="9">
        <v>52529.0</v>
      </c>
    </row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